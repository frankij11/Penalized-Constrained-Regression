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vin\Documents\"/>
    </mc:Choice>
  </mc:AlternateContent>
  <xr:revisionPtr revIDLastSave="0" documentId="8_{1F4EA076-D0CB-4CE9-95EE-9389777A65FD}" xr6:coauthVersionLast="47" xr6:coauthVersionMax="47" xr10:uidLastSave="{00000000-0000-0000-0000-000000000000}"/>
  <bookViews>
    <workbookView xWindow="-110" yWindow="-110" windowWidth="38620" windowHeight="21100" tabRatio="500" activeTab="3" xr2:uid="{00000000-000D-0000-FFFF-FFFF00000000}"/>
  </bookViews>
  <sheets>
    <sheet name="Answer Report 1" sheetId="4" r:id="rId1"/>
    <sheet name="Sensitivity Report 1" sheetId="5" r:id="rId2"/>
    <sheet name="Limits Report 1" sheetId="6" r:id="rId3"/>
    <sheet name="Model" sheetId="1" r:id="rId4"/>
    <sheet name="Diagnostics" sheetId="2" r:id="rId5"/>
    <sheet name="Instructions" sheetId="3" r:id="rId6"/>
  </sheets>
  <definedNames>
    <definedName name="solver_adj" localSheetId="3" hidden="1">Model!$C$38:$L$38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Model!$C$38:$L$38</definedName>
    <definedName name="solver_lhs2" localSheetId="3" hidden="1">Model!$C$38:$L$38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Model!$C$16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3</definedName>
    <definedName name="solver_rhs1" localSheetId="3" hidden="1">Model!$C$40:$L$40</definedName>
    <definedName name="solver_rhs2" localSheetId="3" hidden="1">Model!$C$39:$L$39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B20" i="1" s="1"/>
  <c r="B19" i="1"/>
  <c r="L47" i="1"/>
  <c r="K47" i="1"/>
  <c r="J47" i="1"/>
  <c r="I47" i="1"/>
  <c r="H47" i="1"/>
  <c r="G47" i="1"/>
  <c r="F47" i="1"/>
  <c r="E47" i="1"/>
  <c r="D47" i="1"/>
  <c r="C47" i="1"/>
  <c r="L46" i="1"/>
  <c r="K46" i="1"/>
  <c r="J46" i="1"/>
  <c r="I46" i="1"/>
  <c r="H46" i="1"/>
  <c r="G46" i="1"/>
  <c r="F46" i="1"/>
  <c r="E46" i="1"/>
  <c r="D46" i="1"/>
  <c r="C46" i="1"/>
  <c r="B18" i="1" s="1"/>
  <c r="D59" i="1"/>
  <c r="D60" i="1"/>
  <c r="D61" i="1"/>
  <c r="D62" i="1"/>
  <c r="D63" i="1"/>
  <c r="B26" i="2"/>
  <c r="B21" i="2"/>
  <c r="B20" i="2"/>
  <c r="B15" i="2"/>
  <c r="C62" i="1" l="1"/>
  <c r="C59" i="1"/>
  <c r="B43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B22" i="2"/>
  <c r="B9" i="2"/>
  <c r="B8" i="2"/>
  <c r="B7" i="2"/>
  <c r="C61" i="1"/>
  <c r="B61" i="1"/>
  <c r="C60" i="1"/>
  <c r="B60" i="1"/>
  <c r="K54" i="1"/>
  <c r="J54" i="1"/>
  <c r="I54" i="1"/>
  <c r="H54" i="1"/>
  <c r="G54" i="1"/>
  <c r="F54" i="1"/>
  <c r="E54" i="1"/>
  <c r="D54" i="1"/>
  <c r="C54" i="1"/>
  <c r="B54" i="1"/>
  <c r="L45" i="1"/>
  <c r="K45" i="1"/>
  <c r="J45" i="1"/>
  <c r="I45" i="1"/>
  <c r="H45" i="1"/>
  <c r="C45" i="1"/>
  <c r="L44" i="1"/>
  <c r="K44" i="1"/>
  <c r="J44" i="1"/>
  <c r="I44" i="1"/>
  <c r="H44" i="1"/>
  <c r="C44" i="1"/>
  <c r="L43" i="1"/>
  <c r="K43" i="1"/>
  <c r="J43" i="1"/>
  <c r="I43" i="1"/>
  <c r="H43" i="1"/>
  <c r="G43" i="1"/>
  <c r="G45" i="1" s="1"/>
  <c r="F43" i="1"/>
  <c r="F45" i="1" s="1"/>
  <c r="E43" i="1"/>
  <c r="E45" i="1" s="1"/>
  <c r="D43" i="1"/>
  <c r="D45" i="1" s="1"/>
  <c r="C43" i="1"/>
  <c r="L42" i="1"/>
  <c r="K42" i="1"/>
  <c r="J42" i="1"/>
  <c r="I42" i="1"/>
  <c r="H42" i="1"/>
  <c r="G42" i="1"/>
  <c r="G44" i="1" s="1"/>
  <c r="F42" i="1"/>
  <c r="F44" i="1" s="1"/>
  <c r="E42" i="1"/>
  <c r="E44" i="1" s="1"/>
  <c r="D42" i="1"/>
  <c r="B63" i="1" s="1"/>
  <c r="C42" i="1"/>
  <c r="B5" i="2"/>
  <c r="B4" i="2"/>
  <c r="B42" i="2" l="1"/>
  <c r="B45" i="2" s="1"/>
  <c r="B18" i="2"/>
  <c r="B25" i="2"/>
  <c r="C63" i="1"/>
  <c r="C11" i="1" s="1" a="1"/>
  <c r="C11" i="1" s="1"/>
  <c r="B11" i="2" s="1"/>
  <c r="D44" i="1"/>
  <c r="B44" i="1" s="1"/>
  <c r="C12" i="1" s="1"/>
  <c r="B43" i="1"/>
  <c r="B45" i="1"/>
  <c r="C13" i="1" s="1"/>
  <c r="B62" i="1"/>
  <c r="B59" i="1"/>
  <c r="B46" i="2"/>
  <c r="B6" i="2"/>
  <c r="B23" i="2" s="1"/>
  <c r="B42" i="1"/>
  <c r="C14" i="1" l="1"/>
  <c r="B12" i="2" s="1"/>
  <c r="B16" i="2"/>
  <c r="B17" i="2" s="1"/>
  <c r="C16" i="1" l="1"/>
  <c r="B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<sst xmlns="http://schemas.openxmlformats.org/spreadsheetml/2006/main" count="413" uniqueCount="257">
  <si>
    <t>Penalized-Constrained Regression Template</t>
  </si>
  <si>
    <t>minimize  L(β) + α·l1_ratio·Σ|βⱼ| + ½·α·(1−l1_ratio)·Σβⱼ²   s.t.  LB ≤ β ≤ UB,  Aβ ≤ b</t>
  </si>
  <si>
    <t>HYPERPARAMETERS</t>
  </si>
  <si>
    <t>Alpha (α)</t>
  </si>
  <si>
    <t>Overall penalty strength (0 = constrained-only, no penalty)</t>
  </si>
  <si>
    <t>L1 Ratio</t>
  </si>
  <si>
    <t>0=Ridge, 0.5=ElasticNet, 1=Lasso</t>
  </si>
  <si>
    <t>Loss Function</t>
  </si>
  <si>
    <t>SSE</t>
  </si>
  <si>
    <t>SSE | SSPE | LAD</t>
  </si>
  <si>
    <t>Fit Intercept</t>
  </si>
  <si>
    <t>YES</t>
  </si>
  <si>
    <t>YES or NO</t>
  </si>
  <si>
    <t>OBJECTIVE FUNCTION</t>
  </si>
  <si>
    <t>Total Loss</t>
  </si>
  <si>
    <t>(weighted)</t>
  </si>
  <si>
    <t>L1 Penalty</t>
  </si>
  <si>
    <t>L2 Penalty</t>
  </si>
  <si>
    <t>Total Penalty</t>
  </si>
  <si>
    <t>★ OBJECTIVE</t>
  </si>
  <si>
    <t>(Minimize)</t>
  </si>
  <si>
    <t>n (obs)</t>
  </si>
  <si>
    <t>p (coefs)</t>
  </si>
  <si>
    <t>SOLVER SETUP INSTRUCTIONS</t>
  </si>
  <si>
    <t>1. Build your ŷ formula in column D referencing coefficient values in row 35.</t>
  </si>
  <si>
    <t xml:space="preserve">   Example: =IF($B$8="YES",$C$35,0) + F54*$D$35 + G54*$E$35</t>
  </si>
  <si>
    <t xml:space="preserve">   Log-linear: =EXP($C$35 + LN(F54)*$D$35 + LN(G54)*$E$35)</t>
  </si>
  <si>
    <t>2. Copy the ŷ formula down for all data rows.</t>
  </si>
  <si>
    <t>3. Open Solver (Data → Solver).</t>
  </si>
  <si>
    <t>4. Set Objective: $C$16  |  To: Min</t>
  </si>
  <si>
    <t>5. By Changing Variable Cells: $C$35:$L$35</t>
  </si>
  <si>
    <t>6. Add Constraint: $C$35:$L$35 &gt;= $C$36:$L$36  (lower bounds)</t>
  </si>
  <si>
    <t>7. Add Constraint: $C$35:$L$35 &lt;= $C$37:$L$37  (upper bounds)</t>
  </si>
  <si>
    <t>8. For custom Aβ constraints, reference LHS/RHS in the Constraints table (rows 46-48).</t>
  </si>
  <si>
    <t>9. Solving Method: GRG Nonlinear</t>
  </si>
  <si>
    <t>10. Click Solve.</t>
  </si>
  <si>
    <t>COEFFICIENTS</t>
  </si>
  <si>
    <t>Coefficient →</t>
  </si>
  <si>
    <t>Totals</t>
  </si>
  <si>
    <t>Intercept</t>
  </si>
  <si>
    <t>β₁ (LC)</t>
  </si>
  <si>
    <t>β₂ (RC)</t>
  </si>
  <si>
    <t>β₃</t>
  </si>
  <si>
    <t>β₄</t>
  </si>
  <si>
    <t>Value</t>
  </si>
  <si>
    <t>Lower Bound</t>
  </si>
  <si>
    <t>Upper Bound</t>
  </si>
  <si>
    <t>Penalized?</t>
  </si>
  <si>
    <t>NO</t>
  </si>
  <si>
    <t>|β|</t>
  </si>
  <si>
    <t>β²</t>
  </si>
  <si>
    <t>CONSTRAINTS (Aβ ≤/≥/= b)</t>
  </si>
  <si>
    <t>LHS</t>
  </si>
  <si>
    <t>Type</t>
  </si>
  <si>
    <t>RHS (b)</t>
  </si>
  <si>
    <t>Feasible?</t>
  </si>
  <si>
    <t>DATA TABLE</t>
  </si>
  <si>
    <t>Include: 0=exclude, 1=include, 2+=weight. Col D (ŷ): build your prediction formula. Col E (Y): paste actual values. Cols F+: paste/calculate X variables.</t>
  </si>
  <si>
    <t>Include</t>
  </si>
  <si>
    <t>Residual</t>
  </si>
  <si>
    <t>Loss_i</t>
  </si>
  <si>
    <t>ŷ (Predicted)</t>
  </si>
  <si>
    <t>Y (Actual)</t>
  </si>
  <si>
    <t>X3</t>
  </si>
  <si>
    <t>X4</t>
  </si>
  <si>
    <t>X5</t>
  </si>
  <si>
    <t>Model Diagnostics</t>
  </si>
  <si>
    <t>FIT STATISTICS</t>
  </si>
  <si>
    <t>n (Observations)</t>
  </si>
  <si>
    <t>p (Parameters)</t>
  </si>
  <si>
    <t>Degrees of Freedom</t>
  </si>
  <si>
    <t>Total Loss (weighted)</t>
  </si>
  <si>
    <t>★ Objective Value</t>
  </si>
  <si>
    <t>MSE</t>
  </si>
  <si>
    <t>RMSE</t>
  </si>
  <si>
    <t>MAE</t>
  </si>
  <si>
    <t>Mean Y</t>
  </si>
  <si>
    <t>SST</t>
  </si>
  <si>
    <t>R²</t>
  </si>
  <si>
    <t>Adj R²</t>
  </si>
  <si>
    <t>MAPE (%)</t>
  </si>
  <si>
    <t>SSPE</t>
  </si>
  <si>
    <t>COEFFICIENT SUMMARY</t>
  </si>
  <si>
    <t>Name</t>
  </si>
  <si>
    <t>At Lower?</t>
  </si>
  <si>
    <t>At Upper?</t>
  </si>
  <si>
    <t>GENERALIZED DEGREES OF FREEDOM</t>
  </si>
  <si>
    <t># Binding Constraints</t>
  </si>
  <si>
    <t># Specified Bounds</t>
  </si>
  <si>
    <t>Eff. df (Gaines: binding)</t>
  </si>
  <si>
    <t>Eff. df (Hu: all specified)</t>
  </si>
  <si>
    <t>Penalized-Constrained Regression Template — Instructions</t>
  </si>
  <si>
    <t>PURPOSE</t>
  </si>
  <si>
    <t>This template implements the Penalized-Constrained Regression framework from:</t>
  </si>
  <si>
    <t>Joy &amp; Watstein (2026), 'Small Data, Big Problems: Can we Constrain the Chaos</t>
  </si>
  <si>
    <t>in Small, Correlated Datasets?' ICEAA Professional Development &amp; Training Workshop.</t>
  </si>
  <si>
    <t>Python package: https://github.com/frankij11/Penalized-Constrained-Regression</t>
  </si>
  <si>
    <t>Formulation:  minimize  L(β) + α·l1_ratio·Σ|βⱼ| + ½·α·(1−l1_ratio)·Σβⱼ²</t>
  </si>
  <si>
    <t xml:space="preserve">              subject to  LB ≤ β ≤ UB  and  Aβ ≤/≥/= b</t>
  </si>
  <si>
    <t>SHEET LAYOUT</t>
  </si>
  <si>
    <t>Model: Everything — hyperparameters, objective, solver instructions,</t>
  </si>
  <si>
    <t xml:space="preserve">       coefficients table (transposed), constraints table, and data table.</t>
  </si>
  <si>
    <t>Diagnostics: Fit statistics, coefficient summary, GDF, charts.</t>
  </si>
  <si>
    <t>Instructions: This sheet.</t>
  </si>
  <si>
    <t>STEP 1: SET HYPERPARAMETERS (Model rows 5-8)</t>
  </si>
  <si>
    <t>Alpha (α): Overall penalty strength. α=0 → constrained-only, no regularization.</t>
  </si>
  <si>
    <t>L1 Ratio: 0=Ridge (L2 only), 0.5=Elastic Net, 1=Lasso (L1 only).</t>
  </si>
  <si>
    <t>Loss Function: SSE (sum squared error), SSPE (sum squared % error, MUPE-consistent), LAD (robust).</t>
  </si>
  <si>
    <t>Fit Intercept: YES to include intercept term.</t>
  </si>
  <si>
    <t>STEP 2: CONFIGURE COEFFICIENTS (Model row 34+)</t>
  </si>
  <si>
    <t>Transposed: each column is one coefficient. Grows right — add columns as needed.</t>
  </si>
  <si>
    <t>Row 34: Name your coefficients (Intercept, β₁, LC, RC, etc.).</t>
  </si>
  <si>
    <t>Row 35: Values — GOLD cells that Solver optimizes.</t>
  </si>
  <si>
    <t>Rows 36-37: Lower/Upper Bounds. Leave blank for unconstrained.</t>
  </si>
  <si>
    <t>Row 38: Penalized? YES/NO. Typically NO for intercept.</t>
  </si>
  <si>
    <t>Rows 39-42: Auto-calculated penalty terms.</t>
  </si>
  <si>
    <t>Column B (Totals): Sums that feed into the Objective Function.</t>
  </si>
  <si>
    <t>STEP 3: ADD CONSTRAINTS (Model row 45+)</t>
  </si>
  <si>
    <t>Transposed: each column is one constraint.</t>
  </si>
  <si>
    <t>Row 45: Name the constraint (e.g., 'β₁+β₂ ≤ 0').</t>
  </si>
  <si>
    <t>Row 46: LHS — enter YOUR formula (e.g., =D35+E35).</t>
  </si>
  <si>
    <t>Row 47: Type — dropdown: ≤, =, or ≥.</t>
  </si>
  <si>
    <t>Row 48: RHS (b) — the bound value.</t>
  </si>
  <si>
    <t>Row 49: Feasible? — auto-checks ✓ or VIOLATED.</t>
  </si>
  <si>
    <t>Reference these in Solver: e.g., B46 ≤ B48.</t>
  </si>
  <si>
    <t>STEP 4: PASTE DATA &amp; BUILD PREDICTION (Model row 53+)</t>
  </si>
  <si>
    <t>Column A (Include): Weight per observation. 0=exclude, 1=include, 2+=weight.</t>
  </si>
  <si>
    <t xml:space="preserve">    Future: supports bootstrapping by setting some rows to 0 and others &gt;1.</t>
  </si>
  <si>
    <t>Column E (Y): Paste actual dependent variable values.</t>
  </si>
  <si>
    <t>Columns F+ (X): Paste independent variables. Add columns for transforms (LN, etc.).</t>
  </si>
  <si>
    <t>Column D (ŷ): Build YOUR prediction formula referencing coefficients in row 35.</t>
  </si>
  <si>
    <t xml:space="preserve">  Linear: =IF($B$8="YES",$C$35,0)+F54*$D$35+G54*$E$35</t>
  </si>
  <si>
    <t xml:space="preserve">  Log-linear: =EXP($C$35+LN(F54)*$D$35+LN(G54)*$E$35)</t>
  </si>
  <si>
    <t xml:space="preserve">  Power: =$C$35*F54^$D$35*G54^$E$35</t>
  </si>
  <si>
    <t>Copy the formula down. Columns B-C (Residual, Loss_i) auto-calculate.</t>
  </si>
  <si>
    <t>STEP 5: RUN SOLVER</t>
  </si>
  <si>
    <t>Data → Solver (install Add-in if needed).</t>
  </si>
  <si>
    <t>Set Objective: $C$16 (the ★ OBJECTIVE cell)  |  To: Min.</t>
  </si>
  <si>
    <t>By Changing: $C$35:$L$35</t>
  </si>
  <si>
    <t>Constraints: $C$35:$L$35 &gt;= $C$36:$L$36  (lower bounds)</t>
  </si>
  <si>
    <t xml:space="preserve">             $C$35:$L$35 &lt;= $C$37:$L$37  (upper bounds)</t>
  </si>
  <si>
    <t>For each custom constraint: reference LHS ≤/≥/= RHS cells from row 46/48.</t>
  </si>
  <si>
    <t>Method: GRG Nonlinear (recommended). Click Solve.</t>
  </si>
  <si>
    <t>STEP 6: REVIEW DIAGNOSTICS</t>
  </si>
  <si>
    <t>Switch to Diagnostics sheet.</t>
  </si>
  <si>
    <t>Check R², RMSE, MAPE, and residual charts.</t>
  </si>
  <si>
    <t>Review BINDING constraints — these are active at the solution.</t>
  </si>
  <si>
    <t>GDF section: effective degrees of freedom (Hu vs Gaines methods).</t>
  </si>
  <si>
    <t xml:space="preserve">  Hu: all specified bounds count toward df adjustment.</t>
  </si>
  <si>
    <t xml:space="preserve">  Gaines: only binding (active) constraints count.</t>
  </si>
  <si>
    <t>INCLUDE COLUMN &amp; WEIGHTING</t>
  </si>
  <si>
    <t>The Include column (A) controls observation weighting in the objective function.</t>
  </si>
  <si>
    <t>0 = exclude observation entirely (useful for outlier removal or holdout).</t>
  </si>
  <si>
    <t>1 = standard inclusion (default).</t>
  </si>
  <si>
    <t>2+ = upweight observation (future bootstrapping: resample by setting weights).</t>
  </si>
  <si>
    <t>Total Loss = SUMPRODUCT(Include × Loss_i) — weights are applied automatically.</t>
  </si>
  <si>
    <t>COLOR CODING</t>
  </si>
  <si>
    <t>Blue text / Yellow fill: User inputs.</t>
  </si>
  <si>
    <t>Gold fill: Solver decision variables OR user-defined formulas (ŷ, LHS).</t>
  </si>
  <si>
    <t>Black text / Gray fill: Auto-calculated formulas — do not edit.</t>
  </si>
  <si>
    <t>Green text (Diagnostics): Cross-sheet references to Model.</t>
  </si>
  <si>
    <t>Red ★: Objective cell that Solver minimizes.</t>
  </si>
  <si>
    <t>Pink BINDING: Constraint is active at solution.</t>
  </si>
  <si>
    <t>Pink VIOLATED: Constraint is not satisfied.</t>
  </si>
  <si>
    <t>EXTENDING</t>
  </si>
  <si>
    <t>More coefficients: Insert columns in the coefficients row (between last coef and edge).</t>
  </si>
  <si>
    <t xml:space="preserve">  Update Totals formulas in column B to include new columns.</t>
  </si>
  <si>
    <t>More data: Insert rows in data table; copy formulas in cols A-C down.</t>
  </si>
  <si>
    <t>More X variables: Add columns after last X. Extend ŷ formula accordingly.</t>
  </si>
  <si>
    <t>More constraints: Fill in unused constraint columns (B-K).</t>
  </si>
  <si>
    <t>Non-linear models: Modify ŷ formula in column D to any functional form.</t>
  </si>
  <si>
    <t>Lot_Midpoint</t>
  </si>
  <si>
    <t>Lot_Quantity</t>
  </si>
  <si>
    <t>Microsoft Excel 16.0 Answer Report</t>
  </si>
  <si>
    <t>Worksheet: [PCReg_Template_v3.xlsx]Model</t>
  </si>
  <si>
    <t>Report Created: 2/7/2026 2:25:13 PM</t>
  </si>
  <si>
    <t>Result: Solver has converged to the current solution.  All Constraints are satisfied.</t>
  </si>
  <si>
    <t>Solver Engine</t>
  </si>
  <si>
    <t>Engine: GRG Nonlinear</t>
  </si>
  <si>
    <t>Solution Time: 1.031 Seconds.</t>
  </si>
  <si>
    <t>Iterations: 14 Subproblems: 0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</si>
  <si>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</si>
  <si>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</si>
  <si>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</si>
  <si>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</si>
  <si>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</si>
  <si>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</si>
  <si>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</si>
  <si>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</si>
  <si>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</si>
  <si>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</si>
  <si>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</si>
  <si>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</si>
  <si>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</si>
  <si>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</si>
  <si>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</si>
  <si>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$C$16</t>
  </si>
  <si>
    <t>(Minimize) YES or NO</t>
  </si>
  <si>
    <t>$C$35</t>
  </si>
  <si>
    <t>Value Intercept</t>
  </si>
  <si>
    <t>Contin</t>
  </si>
  <si>
    <t>$D$35</t>
  </si>
  <si>
    <t>Value β₁ (LC)</t>
  </si>
  <si>
    <t>$E$35</t>
  </si>
  <si>
    <t>Value β₂ (RC)</t>
  </si>
  <si>
    <t>$F$35</t>
  </si>
  <si>
    <t>Value β₃</t>
  </si>
  <si>
    <t>$G$35</t>
  </si>
  <si>
    <t>Value β₄</t>
  </si>
  <si>
    <t>$H$35</t>
  </si>
  <si>
    <t>$I$35</t>
  </si>
  <si>
    <t>$J$35</t>
  </si>
  <si>
    <t>$K$35</t>
  </si>
  <si>
    <t>$L$35</t>
  </si>
  <si>
    <t>$C$35&lt;=$C$37</t>
  </si>
  <si>
    <t>Not Binding</t>
  </si>
  <si>
    <t>$D$35&lt;=$D$37</t>
  </si>
  <si>
    <t>$E$35&lt;=$E$37</t>
  </si>
  <si>
    <t>$F$35&lt;=$F$37</t>
  </si>
  <si>
    <t>Binding</t>
  </si>
  <si>
    <t>$G$35&lt;=$G$37</t>
  </si>
  <si>
    <t>$H$35&lt;=$H$37</t>
  </si>
  <si>
    <t>$I$35&lt;=$I$37</t>
  </si>
  <si>
    <t>$J$35&lt;=$J$37</t>
  </si>
  <si>
    <t>$K$35&lt;=$K$37</t>
  </si>
  <si>
    <t>$L$35&lt;=$L$37</t>
  </si>
  <si>
    <t>$C$35&gt;=$C$36</t>
  </si>
  <si>
    <t>$D$35&gt;=$D$36</t>
  </si>
  <si>
    <t>$E$35&gt;=$E$36</t>
  </si>
  <si>
    <t>$F$35&gt;=$F$36</t>
  </si>
  <si>
    <t>$G$35&gt;=$G$36</t>
  </si>
  <si>
    <t>$H$35&gt;=$H$36</t>
  </si>
  <si>
    <t>$I$35&gt;=$I$36</t>
  </si>
  <si>
    <t>$J$35&gt;=$J$36</t>
  </si>
  <si>
    <t>$K$35&gt;=$K$36</t>
  </si>
  <si>
    <t>$L$35&gt;=$L$36</t>
  </si>
  <si>
    <t>$C$35:$L$35</t>
  </si>
  <si>
    <t>$C$35:$L$35 &lt;= $C$37:$L$37</t>
  </si>
  <si>
    <t>$C$35:$L$35 &gt;= $C$36:$L$36</t>
  </si>
  <si>
    <t>Microsoft Excel 16.0 Sensitivity Report</t>
  </si>
  <si>
    <t>Report Created: 2/7/2026 2:25:17 PM</t>
  </si>
  <si>
    <t>Final</t>
  </si>
  <si>
    <t>Reduced</t>
  </si>
  <si>
    <t>Gradient</t>
  </si>
  <si>
    <t>NONE</t>
  </si>
  <si>
    <t>Microsoft Excel 16.0 Limits Report</t>
  </si>
  <si>
    <t>Report Created: 2/7/2026 2:25:18 PM</t>
  </si>
  <si>
    <t>Objective</t>
  </si>
  <si>
    <t>Variable</t>
  </si>
  <si>
    <t>Lower</t>
  </si>
  <si>
    <t>Limit</t>
  </si>
  <si>
    <t>Result</t>
  </si>
  <si>
    <t>Upper</t>
  </si>
  <si>
    <t>DF Loss</t>
  </si>
  <si>
    <t>Binding Constraints</t>
  </si>
  <si>
    <t>GDF</t>
  </si>
  <si>
    <t>Constraint Name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</si>
</sst>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"/>
    <numFmt numFmtId="165" formatCode="0.0000"/>
  </numFmts>
  <fonts count="22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000000"/>
      <name val="Arial"/>
      <charset val="1"/>
    </font>
    <font>
      <i/>
      <sz val="10"/>
      <color rgb="FF333333"/>
      <name val="Arial"/>
      <charset val="1"/>
    </font>
    <font>
      <b/>
      <sz val="12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666666"/>
      <name val="Arial"/>
      <charset val="1"/>
    </font>
    <font>
      <b/>
      <sz val="12"/>
      <color rgb="FFFF0000"/>
      <name val="Arial"/>
      <charset val="1"/>
    </font>
    <font>
      <i/>
      <sz val="10"/>
      <color rgb="FFFF0000"/>
      <name val="Arial"/>
      <charset val="1"/>
    </font>
    <font>
      <b/>
      <sz val="14"/>
      <color rgb="FFFF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1"/>
      <color theme="1"/>
      <name val="Calibri"/>
      <family val="2"/>
    </font>
    <font>
      <b/>
      <sz val="11"/>
      <color indexed="18"/>
      <name val="Calibri"/>
      <family val="2"/>
      <charset val="1"/>
    </font>
    <font>
      <b/>
      <sz val="11"/>
      <name val="Calibri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6E4F0"/>
        <bgColor rgb="FFD9D9D9"/>
      </patternFill>
    </fill>
    <fill>
      <patternFill patternType="solid">
        <fgColor rgb="FFFFD7D7"/>
        <bgColor rgb="FFFFC7CE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65">
    <xf numFmtId="0" fontId="0" fillId="0" borderId="0" xfId="0"/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4" fontId="10" fillId="4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8" fillId="0" borderId="0" xfId="0" applyFont="1"/>
    <xf numFmtId="0" fontId="0" fillId="0" borderId="12" xfId="0" applyFill="1" applyBorder="1" applyAlignment="1"/>
    <xf numFmtId="0" fontId="19" fillId="0" borderId="1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3" xfId="0" applyFill="1" applyBorder="1" applyAlignment="1"/>
    <xf numFmtId="164" fontId="0" fillId="0" borderId="12" xfId="0" applyNumberFormat="1" applyFill="1" applyBorder="1" applyAlignment="1"/>
    <xf numFmtId="164" fontId="0" fillId="0" borderId="13" xfId="0" applyNumberFormat="1" applyFill="1" applyBorder="1" applyAlignment="1"/>
    <xf numFmtId="164" fontId="0" fillId="0" borderId="0" xfId="0" applyNumberFormat="1" applyFill="1" applyBorder="1" applyAlignment="1"/>
    <xf numFmtId="0" fontId="19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19" fillId="0" borderId="9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43" fontId="1" fillId="0" borderId="0" xfId="1"/>
    <xf numFmtId="164" fontId="5" fillId="8" borderId="0" xfId="0" applyNumberFormat="1" applyFont="1" applyFill="1" applyBorder="1" applyAlignment="1">
      <alignment horizontal="center" vertical="center"/>
    </xf>
    <xf numFmtId="164" fontId="11" fillId="9" borderId="0" xfId="0" applyNumberFormat="1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164" fontId="0" fillId="0" borderId="0" xfId="0" applyNumberFormat="1" applyFont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0.000000"/>
      <fill>
        <patternFill patternType="solid">
          <fgColor rgb="FFF2F2F2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4" formatCode="0.000000"/>
      <fill>
        <patternFill patternType="solid">
          <fgColor rgb="FFF2F2F2"/>
          <bgColor rgb="FFEDEDE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5" formatCode="0.0000"/>
      <fill>
        <patternFill patternType="solid">
          <fgColor rgb="FFF2F2F2"/>
          <bgColor rgb="FFEDEDE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D7D7"/>
      <rgbColor rgb="FF878787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FC7CE"/>
      <rgbColor rgb="FF3366FF"/>
      <rgbColor rgb="FF33CCCC"/>
      <rgbColor rgb="FF98B855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Model!$E$58</c:f>
              <c:strCache>
                <c:ptCount val="1"/>
                <c:pt idx="0">
                  <c:v>Y (Actual)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Model!$F$59:$F$63</c:f>
              <c:numCache>
                <c:formatCode>General</c:formatCode>
                <c:ptCount val="5"/>
                <c:pt idx="0">
                  <c:v>5</c:v>
                </c:pt>
                <c:pt idx="1">
                  <c:v>17.5</c:v>
                </c:pt>
                <c:pt idx="2">
                  <c:v>35</c:v>
                </c:pt>
                <c:pt idx="3">
                  <c:v>57.5</c:v>
                </c:pt>
                <c:pt idx="4">
                  <c:v>85</c:v>
                </c:pt>
              </c:numCache>
            </c:numRef>
          </c:xVal>
          <c:yVal>
            <c:numRef>
              <c:f>Model!$E$59:$E$63</c:f>
              <c:numCache>
                <c:formatCode>General</c:formatCode>
                <c:ptCount val="5"/>
                <c:pt idx="0">
                  <c:v>500</c:v>
                </c:pt>
                <c:pt idx="1">
                  <c:v>420</c:v>
                </c:pt>
                <c:pt idx="2">
                  <c:v>380</c:v>
                </c:pt>
                <c:pt idx="3">
                  <c:v>340</c:v>
                </c:pt>
                <c:pt idx="4">
                  <c:v>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E-43B0-BF8E-3F0F1F62D1D4}"/>
            </c:ext>
          </c:extLst>
        </c:ser>
        <c:ser>
          <c:idx val="1"/>
          <c:order val="1"/>
          <c:tx>
            <c:strRef>
              <c:f>Model!$D$58</c:f>
              <c:strCache>
                <c:ptCount val="1"/>
                <c:pt idx="0">
                  <c:v>ŷ (Predicted)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Model!$F$59:$F$63</c:f>
              <c:numCache>
                <c:formatCode>General</c:formatCode>
                <c:ptCount val="5"/>
                <c:pt idx="0">
                  <c:v>5</c:v>
                </c:pt>
                <c:pt idx="1">
                  <c:v>17.5</c:v>
                </c:pt>
                <c:pt idx="2">
                  <c:v>35</c:v>
                </c:pt>
                <c:pt idx="3">
                  <c:v>57.5</c:v>
                </c:pt>
                <c:pt idx="4">
                  <c:v>85</c:v>
                </c:pt>
              </c:numCache>
            </c:numRef>
          </c:xVal>
          <c:yVal>
            <c:numRef>
              <c:f>Model!$D$59:$D$63</c:f>
              <c:numCache>
                <c:formatCode>0.000000</c:formatCode>
                <c:ptCount val="5"/>
                <c:pt idx="0">
                  <c:v>502.34998621329242</c:v>
                </c:pt>
                <c:pt idx="1">
                  <c:v>414.78752515381586</c:v>
                </c:pt>
                <c:pt idx="2">
                  <c:v>369.96060609872779</c:v>
                </c:pt>
                <c:pt idx="3">
                  <c:v>340.09215126985782</c:v>
                </c:pt>
                <c:pt idx="4">
                  <c:v>318.00243947040587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EE-43B0-BF8E-3F0F1F62D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845024"/>
        <c:axId val="1249843584"/>
      </c:scatterChart>
      <c:valAx>
        <c:axId val="124984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43584"/>
        <c:crosses val="autoZero"/>
        <c:crossBetween val="midCat"/>
      </c:valAx>
      <c:valAx>
        <c:axId val="12498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4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Actual vs Predicted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vs Predicted</c:v>
          </c:tx>
          <c:spPr>
            <a:ln w="25400">
              <a:noFill/>
            </a:ln>
          </c:spPr>
          <c:xVal>
            <c:numRef>
              <c:f>Model!$E$59:$E$63</c:f>
              <c:numCache>
                <c:formatCode>General</c:formatCode>
                <c:ptCount val="5"/>
                <c:pt idx="0">
                  <c:v>500</c:v>
                </c:pt>
                <c:pt idx="1">
                  <c:v>420</c:v>
                </c:pt>
                <c:pt idx="2">
                  <c:v>380</c:v>
                </c:pt>
                <c:pt idx="3">
                  <c:v>340</c:v>
                </c:pt>
                <c:pt idx="4">
                  <c:v>310</c:v>
                </c:pt>
              </c:numCache>
            </c:numRef>
          </c:xVal>
          <c:yVal>
            <c:numRef>
              <c:f>Model!$D$59:$D$63</c:f>
              <c:numCache>
                <c:formatCode>0.000000</c:formatCode>
                <c:ptCount val="5"/>
                <c:pt idx="0">
                  <c:v>502.34998621329242</c:v>
                </c:pt>
                <c:pt idx="1">
                  <c:v>414.78752515381586</c:v>
                </c:pt>
                <c:pt idx="2">
                  <c:v>369.96060609872779</c:v>
                </c:pt>
                <c:pt idx="3">
                  <c:v>340.09215126985782</c:v>
                </c:pt>
                <c:pt idx="4">
                  <c:v>318.00243947040587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A-4449-9153-BE87C3AF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38916"/>
        <c:axId val="54397869"/>
      </c:scatterChart>
      <c:valAx>
        <c:axId val="431389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 (Actual)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97869"/>
        <c:crosses val="autoZero"/>
        <c:crossBetween val="midCat"/>
      </c:valAx>
      <c:valAx>
        <c:axId val="54397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cy-GB" sz="1000" b="1" strike="noStrike" spc="-1">
                    <a:solidFill>
                      <a:srgbClr val="000000"/>
                    </a:solidFill>
                    <a:latin typeface="Calibri"/>
                  </a:rPr>
                  <a:t>ŷ (Predicted)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389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Residuals</c:v>
          </c:tx>
          <c:spPr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Model!$E$59:$E$63</c:f>
              <c:numCache>
                <c:formatCode>General</c:formatCode>
                <c:ptCount val="5"/>
                <c:pt idx="0">
                  <c:v>500</c:v>
                </c:pt>
                <c:pt idx="1">
                  <c:v>420</c:v>
                </c:pt>
                <c:pt idx="2">
                  <c:v>380</c:v>
                </c:pt>
                <c:pt idx="3">
                  <c:v>340</c:v>
                </c:pt>
                <c:pt idx="4">
                  <c:v>310</c:v>
                </c:pt>
              </c:numCache>
            </c:numRef>
          </c:xVal>
          <c:yVal>
            <c:numRef>
              <c:f>Model!$B$59:$B$63</c:f>
              <c:numCache>
                <c:formatCode>0.0000</c:formatCode>
                <c:ptCount val="5"/>
                <c:pt idx="0">
                  <c:v>-2.349986213292425</c:v>
                </c:pt>
                <c:pt idx="1">
                  <c:v>5.2124748461841364</c:v>
                </c:pt>
                <c:pt idx="2">
                  <c:v>10.039393901272206</c:v>
                </c:pt>
                <c:pt idx="3">
                  <c:v>-9.2151269857822626E-2</c:v>
                </c:pt>
                <c:pt idx="4">
                  <c:v>-8.002439470405875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4-4FCB-961E-39D6C2E06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9254"/>
        <c:axId val="34082063"/>
      </c:scatterChart>
      <c:valAx>
        <c:axId val="642892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 (Actual)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82063"/>
        <c:crosses val="autoZero"/>
        <c:crossBetween val="midCat"/>
      </c:valAx>
      <c:valAx>
        <c:axId val="34082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8925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79375</xdr:colOff>
      <xdr:row>27</xdr:row>
      <xdr:rowOff>165100</xdr:rowOff>
    </xdr:from>
    <xdr:to>
      <xdr:col>21</xdr:col>
      <xdr:colOff>428625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3F6CC-E8B4-502E-3AB0-95BA8AE31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47</xdr:row>
      <xdr:rowOff>52610</xdr:rowOff>
    </xdr:from>
    <xdr:to>
      <xdr:col>12</xdr:col>
      <xdr:colOff>201760</xdr:colOff>
      <xdr:row>69</xdr:row>
      <xdr:rowOff>174480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139700</xdr:colOff>
      <xdr:row>47</xdr:row>
      <xdr:rowOff>78010</xdr:rowOff>
    </xdr:from>
    <xdr:to>
      <xdr:col>4</xdr:col>
      <xdr:colOff>824060</xdr:colOff>
      <xdr:row>70</xdr:row>
      <xdr:rowOff>15730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5DD60-2837-43FC-9B27-73B859A7D045}" name="pcreg_DataTable" displayName="pcreg_DataTable" ref="A58:J63" totalsRowShown="0" headerRowDxfId="3" dataDxfId="4" headerRowBorderDxfId="15" tableBorderDxfId="16" totalsRowBorderDxfId="14">
  <autoFilter ref="A58:J63" xr:uid="{9A45DD60-2837-43FC-9B27-73B859A7D045}"/>
  <tableColumns count="10">
    <tableColumn id="1" xr3:uid="{19A3ACC8-2362-4A9F-8AD4-A9F43266F63C}" name="Include" dataDxfId="13"/>
    <tableColumn id="2" xr3:uid="{B45B9C88-28E1-40BE-807C-CDEF7BE32E60}" name="Residual" dataDxfId="12">
      <calculatedColumnFormula>IF(OR(E59="",D59=""),"",E59-D59)</calculatedColumnFormula>
    </tableColumn>
    <tableColumn id="3" xr3:uid="{C8828B06-3E2D-4145-965F-2569CBA19E2F}" name="Loss_i" dataDxfId="11">
      <calculatedColumnFormula>IF(OR(E59="",D59=""),0,IF($B$7="SSE",(E59-D59)^2,IF($B$7="SSPE",IF(E59=0,(E59-D59)^2,((E59-D59)/E59)^2),IF($B$7="LAD",ABS(E59-D59),(E59-D59)^2))))</calculatedColumnFormula>
    </tableColumn>
    <tableColumn id="4" xr3:uid="{484B9C94-F521-4915-AEA1-875B0F52D42B}" name="ŷ (Predicted)" dataDxfId="2">
      <calculatedColumnFormula>$C$38*(pcreg_DataTable[[#This Row],[Lot_Midpoint]]^$D$38)*(pcreg_DataTable[[#This Row],[Lot_Quantity]]^$E$38)</calculatedColumnFormula>
    </tableColumn>
    <tableColumn id="5" xr3:uid="{22DD4750-4DAF-4743-856A-176E1CCEBCD4}" name="Y (Actual)" dataDxfId="10"/>
    <tableColumn id="6" xr3:uid="{1AB2B445-9D83-4FE8-89A2-203B5273E466}" name="Lot_Midpoint" dataDxfId="9"/>
    <tableColumn id="7" xr3:uid="{132DD3E7-A878-4A1C-8E06-00C1035E1418}" name="Lot_Quantity" dataDxfId="8"/>
    <tableColumn id="8" xr3:uid="{6C6DF5C8-F232-4E2C-808F-E7F5BF639BFF}" name="X3" dataDxfId="7"/>
    <tableColumn id="9" xr3:uid="{3D59C7A2-E516-4C19-8841-ADCB6DA67FC8}" name="X4" dataDxfId="6"/>
    <tableColumn id="10" xr3:uid="{D03DDAE2-517F-42FE-9ACF-B662FA7EB472}" name="X5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BECB-8ECD-4BE8-A04B-ED73B6A31CED}">
  <dimension ref="A1:G60"/>
  <sheetViews>
    <sheetView showGridLines="0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18.6328125" bestFit="1" customWidth="1"/>
    <col min="4" max="5" width="13.453125" bestFit="1" customWidth="1"/>
    <col min="6" max="6" width="10.453125" bestFit="1" customWidth="1"/>
    <col min="7" max="7" width="11.81640625" bestFit="1" customWidth="1"/>
  </cols>
  <sheetData>
    <row r="1" spans="1:5" x14ac:dyDescent="0.35">
      <c r="A1" s="40" t="s">
        <v>173</v>
      </c>
    </row>
    <row r="2" spans="1:5" x14ac:dyDescent="0.35">
      <c r="A2" s="40" t="s">
        <v>174</v>
      </c>
    </row>
    <row r="3" spans="1:5" x14ac:dyDescent="0.35">
      <c r="A3" s="40" t="s">
        <v>175</v>
      </c>
    </row>
    <row r="4" spans="1:5" x14ac:dyDescent="0.35">
      <c r="A4" s="40" t="s">
        <v>176</v>
      </c>
    </row>
    <row r="5" spans="1:5" x14ac:dyDescent="0.35">
      <c r="A5" s="40" t="s">
        <v>177</v>
      </c>
    </row>
    <row r="6" spans="1:5" hidden="1" outlineLevel="1" x14ac:dyDescent="0.35">
      <c r="A6" s="40"/>
      <c r="B6" t="s">
        <v>178</v>
      </c>
    </row>
    <row r="7" spans="1:5" hidden="1" outlineLevel="1" x14ac:dyDescent="0.35">
      <c r="A7" s="40"/>
      <c r="B7" t="s">
        <v>179</v>
      </c>
    </row>
    <row r="8" spans="1:5" hidden="1" outlineLevel="1" x14ac:dyDescent="0.35">
      <c r="A8" s="40"/>
      <c r="B8" t="s">
        <v>180</v>
      </c>
    </row>
    <row r="9" spans="1:5" collapsed="1" x14ac:dyDescent="0.35">
      <c r="A9" s="40" t="s">
        <v>181</v>
      </c>
    </row>
    <row r="10" spans="1:5" hidden="1" outlineLevel="1" x14ac:dyDescent="0.35">
      <c r="B10" t="s">
        <v>182</v>
      </c>
    </row>
    <row r="11" spans="1:5" hidden="1" outlineLevel="1" x14ac:dyDescent="0.35">
      <c r="B11" t="s">
        <v>183</v>
      </c>
    </row>
    <row r="12" spans="1:5" hidden="1" outlineLevel="1" x14ac:dyDescent="0.35">
      <c r="B12" t="s">
        <v>184</v>
      </c>
    </row>
    <row r="13" spans="1:5" collapsed="1" x14ac:dyDescent="0.35"/>
    <row r="14" spans="1:5" ht="15" thickBot="1" x14ac:dyDescent="0.4">
      <c r="A14" t="s">
        <v>185</v>
      </c>
    </row>
    <row r="15" spans="1:5" ht="15" thickBot="1" x14ac:dyDescent="0.4">
      <c r="B15" s="42" t="s">
        <v>186</v>
      </c>
      <c r="C15" s="42" t="s">
        <v>83</v>
      </c>
      <c r="D15" s="42" t="s">
        <v>187</v>
      </c>
      <c r="E15" s="42" t="s">
        <v>188</v>
      </c>
    </row>
    <row r="16" spans="1:5" ht="15" thickBot="1" x14ac:dyDescent="0.4">
      <c r="B16" s="41" t="s">
        <v>196</v>
      </c>
      <c r="C16" s="41" t="s">
        <v>197</v>
      </c>
      <c r="D16" s="45">
        <v>442500</v>
      </c>
      <c r="E16" s="45">
        <v>197.54215765014365</v>
      </c>
    </row>
    <row r="19" spans="1:6" ht="15" thickBot="1" x14ac:dyDescent="0.4">
      <c r="A19" t="s">
        <v>189</v>
      </c>
    </row>
    <row r="20" spans="1:6" ht="15" thickBot="1" x14ac:dyDescent="0.4">
      <c r="B20" s="42" t="s">
        <v>186</v>
      </c>
      <c r="C20" s="42" t="s">
        <v>83</v>
      </c>
      <c r="D20" s="42" t="s">
        <v>187</v>
      </c>
      <c r="E20" s="42" t="s">
        <v>188</v>
      </c>
      <c r="F20" s="42" t="s">
        <v>190</v>
      </c>
    </row>
    <row r="21" spans="1:6" x14ac:dyDescent="0.35">
      <c r="B21" s="49" t="s">
        <v>236</v>
      </c>
      <c r="C21" s="48"/>
      <c r="D21" s="48"/>
      <c r="E21" s="48"/>
      <c r="F21" s="48"/>
    </row>
    <row r="22" spans="1:6" hidden="1" outlineLevel="1" x14ac:dyDescent="0.35">
      <c r="B22" s="44" t="s">
        <v>198</v>
      </c>
      <c r="C22" s="44" t="s">
        <v>199</v>
      </c>
      <c r="D22" s="46">
        <v>100</v>
      </c>
      <c r="E22" s="46">
        <v>813.66920209268483</v>
      </c>
      <c r="F22" s="44" t="s">
        <v>200</v>
      </c>
    </row>
    <row r="23" spans="1:6" hidden="1" outlineLevel="1" x14ac:dyDescent="0.35">
      <c r="B23" s="44" t="s">
        <v>201</v>
      </c>
      <c r="C23" s="44" t="s">
        <v>202</v>
      </c>
      <c r="D23" s="46">
        <v>0</v>
      </c>
      <c r="E23" s="46">
        <v>-0.10997977319166412</v>
      </c>
      <c r="F23" s="44" t="s">
        <v>200</v>
      </c>
    </row>
    <row r="24" spans="1:6" hidden="1" outlineLevel="1" x14ac:dyDescent="0.35">
      <c r="B24" s="44" t="s">
        <v>203</v>
      </c>
      <c r="C24" s="44" t="s">
        <v>204</v>
      </c>
      <c r="D24" s="46">
        <v>0</v>
      </c>
      <c r="E24" s="46">
        <v>-0.13256892075750201</v>
      </c>
      <c r="F24" s="44" t="s">
        <v>200</v>
      </c>
    </row>
    <row r="25" spans="1:6" hidden="1" outlineLevel="1" x14ac:dyDescent="0.35">
      <c r="B25" s="44" t="s">
        <v>205</v>
      </c>
      <c r="C25" s="44" t="s">
        <v>206</v>
      </c>
      <c r="D25" s="46">
        <v>0</v>
      </c>
      <c r="E25" s="46">
        <v>0</v>
      </c>
      <c r="F25" s="44" t="s">
        <v>200</v>
      </c>
    </row>
    <row r="26" spans="1:6" hidden="1" outlineLevel="1" x14ac:dyDescent="0.35">
      <c r="B26" s="44" t="s">
        <v>207</v>
      </c>
      <c r="C26" s="44" t="s">
        <v>208</v>
      </c>
      <c r="D26" s="46">
        <v>0</v>
      </c>
      <c r="E26" s="46">
        <v>0</v>
      </c>
      <c r="F26" s="44" t="s">
        <v>200</v>
      </c>
    </row>
    <row r="27" spans="1:6" hidden="1" outlineLevel="1" x14ac:dyDescent="0.35">
      <c r="B27" s="44" t="s">
        <v>209</v>
      </c>
      <c r="C27" s="44" t="s">
        <v>44</v>
      </c>
      <c r="D27" s="46">
        <v>0</v>
      </c>
      <c r="E27" s="46">
        <v>0</v>
      </c>
      <c r="F27" s="44" t="s">
        <v>200</v>
      </c>
    </row>
    <row r="28" spans="1:6" hidden="1" outlineLevel="1" x14ac:dyDescent="0.35">
      <c r="B28" s="44" t="s">
        <v>210</v>
      </c>
      <c r="C28" s="44" t="s">
        <v>44</v>
      </c>
      <c r="D28" s="46">
        <v>0</v>
      </c>
      <c r="E28" s="46">
        <v>0</v>
      </c>
      <c r="F28" s="44" t="s">
        <v>200</v>
      </c>
    </row>
    <row r="29" spans="1:6" hidden="1" outlineLevel="1" x14ac:dyDescent="0.35">
      <c r="B29" s="44" t="s">
        <v>211</v>
      </c>
      <c r="C29" s="44" t="s">
        <v>44</v>
      </c>
      <c r="D29" s="46">
        <v>0</v>
      </c>
      <c r="E29" s="46">
        <v>0</v>
      </c>
      <c r="F29" s="44" t="s">
        <v>200</v>
      </c>
    </row>
    <row r="30" spans="1:6" hidden="1" outlineLevel="1" x14ac:dyDescent="0.35">
      <c r="B30" s="44" t="s">
        <v>212</v>
      </c>
      <c r="C30" s="44" t="s">
        <v>44</v>
      </c>
      <c r="D30" s="46">
        <v>0</v>
      </c>
      <c r="E30" s="46">
        <v>0</v>
      </c>
      <c r="F30" s="44" t="s">
        <v>200</v>
      </c>
    </row>
    <row r="31" spans="1:6" ht="15" hidden="1" outlineLevel="1" thickBot="1" x14ac:dyDescent="0.4">
      <c r="B31" s="41" t="s">
        <v>213</v>
      </c>
      <c r="C31" s="41" t="s">
        <v>44</v>
      </c>
      <c r="D31" s="45">
        <v>0</v>
      </c>
      <c r="E31" s="45">
        <v>0</v>
      </c>
      <c r="F31" s="41" t="s">
        <v>200</v>
      </c>
    </row>
    <row r="32" spans="1:6" collapsed="1" x14ac:dyDescent="0.35">
      <c r="B32" s="43"/>
      <c r="C32" s="43"/>
      <c r="D32" s="47"/>
      <c r="E32" s="47"/>
      <c r="F32" s="43"/>
    </row>
    <row r="35" spans="1:7" ht="15" thickBot="1" x14ac:dyDescent="0.4">
      <c r="A35" t="s">
        <v>191</v>
      </c>
    </row>
    <row r="36" spans="1:7" ht="15" thickBot="1" x14ac:dyDescent="0.4">
      <c r="B36" s="42" t="s">
        <v>186</v>
      </c>
      <c r="C36" s="42" t="s">
        <v>83</v>
      </c>
      <c r="D36" s="42" t="s">
        <v>192</v>
      </c>
      <c r="E36" s="42" t="s">
        <v>193</v>
      </c>
      <c r="F36" s="42" t="s">
        <v>194</v>
      </c>
      <c r="G36" s="42" t="s">
        <v>195</v>
      </c>
    </row>
    <row r="37" spans="1:7" x14ac:dyDescent="0.35">
      <c r="B37" s="49" t="s">
        <v>237</v>
      </c>
      <c r="C37" s="48"/>
      <c r="D37" s="48"/>
      <c r="E37" s="48"/>
      <c r="F37" s="48"/>
      <c r="G37" s="48"/>
    </row>
    <row r="38" spans="1:7" hidden="1" outlineLevel="1" x14ac:dyDescent="0.35">
      <c r="B38" s="44" t="s">
        <v>198</v>
      </c>
      <c r="C38" s="44" t="s">
        <v>199</v>
      </c>
      <c r="D38" s="46">
        <v>813.66920209268483</v>
      </c>
      <c r="E38" s="44" t="s">
        <v>214</v>
      </c>
      <c r="F38" s="44" t="s">
        <v>215</v>
      </c>
      <c r="G38" s="44">
        <v>9999999186.3307972</v>
      </c>
    </row>
    <row r="39" spans="1:7" hidden="1" outlineLevel="1" x14ac:dyDescent="0.35">
      <c r="B39" s="44" t="s">
        <v>201</v>
      </c>
      <c r="C39" s="44" t="s">
        <v>202</v>
      </c>
      <c r="D39" s="46">
        <v>-0.10997977319166412</v>
      </c>
      <c r="E39" s="44" t="s">
        <v>216</v>
      </c>
      <c r="F39" s="44" t="s">
        <v>215</v>
      </c>
      <c r="G39" s="44">
        <v>0.10997977319166412</v>
      </c>
    </row>
    <row r="40" spans="1:7" hidden="1" outlineLevel="1" x14ac:dyDescent="0.35">
      <c r="B40" s="44" t="s">
        <v>203</v>
      </c>
      <c r="C40" s="44" t="s">
        <v>204</v>
      </c>
      <c r="D40" s="46">
        <v>-0.13256892075750201</v>
      </c>
      <c r="E40" s="44" t="s">
        <v>217</v>
      </c>
      <c r="F40" s="44" t="s">
        <v>215</v>
      </c>
      <c r="G40" s="44">
        <v>0.13256892075750201</v>
      </c>
    </row>
    <row r="41" spans="1:7" hidden="1" outlineLevel="1" x14ac:dyDescent="0.35">
      <c r="B41" s="44" t="s">
        <v>205</v>
      </c>
      <c r="C41" s="44" t="s">
        <v>206</v>
      </c>
      <c r="D41" s="46">
        <v>0</v>
      </c>
      <c r="E41" s="44" t="s">
        <v>218</v>
      </c>
      <c r="F41" s="44" t="s">
        <v>219</v>
      </c>
      <c r="G41" s="44">
        <v>0</v>
      </c>
    </row>
    <row r="42" spans="1:7" hidden="1" outlineLevel="1" x14ac:dyDescent="0.35">
      <c r="B42" s="44" t="s">
        <v>207</v>
      </c>
      <c r="C42" s="44" t="s">
        <v>208</v>
      </c>
      <c r="D42" s="46">
        <v>0</v>
      </c>
      <c r="E42" s="44" t="s">
        <v>220</v>
      </c>
      <c r="F42" s="44" t="s">
        <v>219</v>
      </c>
      <c r="G42" s="44">
        <v>0</v>
      </c>
    </row>
    <row r="43" spans="1:7" hidden="1" outlineLevel="1" x14ac:dyDescent="0.35">
      <c r="B43" s="44" t="s">
        <v>209</v>
      </c>
      <c r="C43" s="44" t="s">
        <v>44</v>
      </c>
      <c r="D43" s="46">
        <v>0</v>
      </c>
      <c r="E43" s="44" t="s">
        <v>221</v>
      </c>
      <c r="F43" s="44" t="s">
        <v>219</v>
      </c>
      <c r="G43" s="44">
        <v>0</v>
      </c>
    </row>
    <row r="44" spans="1:7" hidden="1" outlineLevel="1" x14ac:dyDescent="0.35">
      <c r="B44" s="44" t="s">
        <v>210</v>
      </c>
      <c r="C44" s="44" t="s">
        <v>44</v>
      </c>
      <c r="D44" s="46">
        <v>0</v>
      </c>
      <c r="E44" s="44" t="s">
        <v>222</v>
      </c>
      <c r="F44" s="44" t="s">
        <v>219</v>
      </c>
      <c r="G44" s="44">
        <v>0</v>
      </c>
    </row>
    <row r="45" spans="1:7" hidden="1" outlineLevel="1" x14ac:dyDescent="0.35">
      <c r="B45" s="44" t="s">
        <v>211</v>
      </c>
      <c r="C45" s="44" t="s">
        <v>44</v>
      </c>
      <c r="D45" s="46">
        <v>0</v>
      </c>
      <c r="E45" s="44" t="s">
        <v>223</v>
      </c>
      <c r="F45" s="44" t="s">
        <v>219</v>
      </c>
      <c r="G45" s="44">
        <v>0</v>
      </c>
    </row>
    <row r="46" spans="1:7" hidden="1" outlineLevel="1" x14ac:dyDescent="0.35">
      <c r="B46" s="44" t="s">
        <v>212</v>
      </c>
      <c r="C46" s="44" t="s">
        <v>44</v>
      </c>
      <c r="D46" s="46">
        <v>0</v>
      </c>
      <c r="E46" s="44" t="s">
        <v>224</v>
      </c>
      <c r="F46" s="44" t="s">
        <v>219</v>
      </c>
      <c r="G46" s="44">
        <v>0</v>
      </c>
    </row>
    <row r="47" spans="1:7" hidden="1" outlineLevel="1" x14ac:dyDescent="0.35">
      <c r="B47" s="44" t="s">
        <v>213</v>
      </c>
      <c r="C47" s="44" t="s">
        <v>44</v>
      </c>
      <c r="D47" s="46">
        <v>0</v>
      </c>
      <c r="E47" s="44" t="s">
        <v>225</v>
      </c>
      <c r="F47" s="44" t="s">
        <v>219</v>
      </c>
      <c r="G47" s="44">
        <v>0</v>
      </c>
    </row>
    <row r="48" spans="1:7" collapsed="1" x14ac:dyDescent="0.35">
      <c r="B48" s="44"/>
      <c r="C48" s="44"/>
      <c r="D48" s="46"/>
      <c r="E48" s="44"/>
      <c r="F48" s="44"/>
      <c r="G48" s="44"/>
    </row>
    <row r="49" spans="2:7" x14ac:dyDescent="0.35">
      <c r="B49" s="50" t="s">
        <v>238</v>
      </c>
      <c r="C49" s="44"/>
      <c r="D49" s="46"/>
      <c r="E49" s="44"/>
      <c r="F49" s="44"/>
      <c r="G49" s="44"/>
    </row>
    <row r="50" spans="2:7" hidden="1" outlineLevel="1" x14ac:dyDescent="0.35">
      <c r="B50" s="44" t="s">
        <v>198</v>
      </c>
      <c r="C50" s="44" t="s">
        <v>199</v>
      </c>
      <c r="D50" s="46">
        <v>813.66920209268483</v>
      </c>
      <c r="E50" s="44" t="s">
        <v>226</v>
      </c>
      <c r="F50" s="44" t="s">
        <v>215</v>
      </c>
      <c r="G50" s="46">
        <v>813.66920209268483</v>
      </c>
    </row>
    <row r="51" spans="2:7" hidden="1" outlineLevel="1" x14ac:dyDescent="0.35">
      <c r="B51" s="44" t="s">
        <v>201</v>
      </c>
      <c r="C51" s="44" t="s">
        <v>202</v>
      </c>
      <c r="D51" s="46">
        <v>-0.10997977319166412</v>
      </c>
      <c r="E51" s="44" t="s">
        <v>227</v>
      </c>
      <c r="F51" s="44" t="s">
        <v>215</v>
      </c>
      <c r="G51" s="46">
        <v>0.89002022680833592</v>
      </c>
    </row>
    <row r="52" spans="2:7" hidden="1" outlineLevel="1" x14ac:dyDescent="0.35">
      <c r="B52" s="44" t="s">
        <v>203</v>
      </c>
      <c r="C52" s="44" t="s">
        <v>204</v>
      </c>
      <c r="D52" s="46">
        <v>-0.13256892075750201</v>
      </c>
      <c r="E52" s="44" t="s">
        <v>228</v>
      </c>
      <c r="F52" s="44" t="s">
        <v>215</v>
      </c>
      <c r="G52" s="46">
        <v>0.86743107924249796</v>
      </c>
    </row>
    <row r="53" spans="2:7" hidden="1" outlineLevel="1" x14ac:dyDescent="0.35">
      <c r="B53" s="44" t="s">
        <v>205</v>
      </c>
      <c r="C53" s="44" t="s">
        <v>206</v>
      </c>
      <c r="D53" s="46">
        <v>0</v>
      </c>
      <c r="E53" s="44" t="s">
        <v>229</v>
      </c>
      <c r="F53" s="44" t="s">
        <v>219</v>
      </c>
      <c r="G53" s="46">
        <v>0</v>
      </c>
    </row>
    <row r="54" spans="2:7" hidden="1" outlineLevel="1" x14ac:dyDescent="0.35">
      <c r="B54" s="44" t="s">
        <v>207</v>
      </c>
      <c r="C54" s="44" t="s">
        <v>208</v>
      </c>
      <c r="D54" s="46">
        <v>0</v>
      </c>
      <c r="E54" s="44" t="s">
        <v>230</v>
      </c>
      <c r="F54" s="44" t="s">
        <v>219</v>
      </c>
      <c r="G54" s="46">
        <v>0</v>
      </c>
    </row>
    <row r="55" spans="2:7" hidden="1" outlineLevel="1" x14ac:dyDescent="0.35">
      <c r="B55" s="44" t="s">
        <v>209</v>
      </c>
      <c r="C55" s="44" t="s">
        <v>44</v>
      </c>
      <c r="D55" s="46">
        <v>0</v>
      </c>
      <c r="E55" s="44" t="s">
        <v>231</v>
      </c>
      <c r="F55" s="44" t="s">
        <v>219</v>
      </c>
      <c r="G55" s="46">
        <v>0</v>
      </c>
    </row>
    <row r="56" spans="2:7" hidden="1" outlineLevel="1" x14ac:dyDescent="0.35">
      <c r="B56" s="44" t="s">
        <v>210</v>
      </c>
      <c r="C56" s="44" t="s">
        <v>44</v>
      </c>
      <c r="D56" s="46">
        <v>0</v>
      </c>
      <c r="E56" s="44" t="s">
        <v>232</v>
      </c>
      <c r="F56" s="44" t="s">
        <v>219</v>
      </c>
      <c r="G56" s="46">
        <v>0</v>
      </c>
    </row>
    <row r="57" spans="2:7" hidden="1" outlineLevel="1" x14ac:dyDescent="0.35">
      <c r="B57" s="44" t="s">
        <v>211</v>
      </c>
      <c r="C57" s="44" t="s">
        <v>44</v>
      </c>
      <c r="D57" s="46">
        <v>0</v>
      </c>
      <c r="E57" s="44" t="s">
        <v>233</v>
      </c>
      <c r="F57" s="44" t="s">
        <v>219</v>
      </c>
      <c r="G57" s="46">
        <v>0</v>
      </c>
    </row>
    <row r="58" spans="2:7" hidden="1" outlineLevel="1" x14ac:dyDescent="0.35">
      <c r="B58" s="44" t="s">
        <v>212</v>
      </c>
      <c r="C58" s="44" t="s">
        <v>44</v>
      </c>
      <c r="D58" s="46">
        <v>0</v>
      </c>
      <c r="E58" s="44" t="s">
        <v>234</v>
      </c>
      <c r="F58" s="44" t="s">
        <v>219</v>
      </c>
      <c r="G58" s="46">
        <v>0</v>
      </c>
    </row>
    <row r="59" spans="2:7" ht="15" hidden="1" outlineLevel="1" thickBot="1" x14ac:dyDescent="0.4">
      <c r="B59" s="41" t="s">
        <v>213</v>
      </c>
      <c r="C59" s="41" t="s">
        <v>44</v>
      </c>
      <c r="D59" s="45">
        <v>0</v>
      </c>
      <c r="E59" s="41" t="s">
        <v>235</v>
      </c>
      <c r="F59" s="41" t="s">
        <v>219</v>
      </c>
      <c r="G59" s="45">
        <v>0</v>
      </c>
    </row>
    <row r="60" spans="2:7" collapsed="1" x14ac:dyDescent="0.35">
      <c r="B60" s="43"/>
      <c r="C60" s="43"/>
      <c r="D60" s="47"/>
      <c r="E60" s="43"/>
      <c r="F60" s="43"/>
      <c r="G60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6BFF-5B37-4211-9B85-43DBEAAEB20A}">
  <dimension ref="A1:E23"/>
  <sheetViews>
    <sheetView showGridLines="0" workbookViewId="0">
      <selection activeCell="E7" sqref="E7:E8"/>
    </sheetView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13.54296875" bestFit="1" customWidth="1"/>
    <col min="4" max="4" width="12.453125" bestFit="1" customWidth="1"/>
    <col min="5" max="5" width="8.1796875" bestFit="1" customWidth="1"/>
  </cols>
  <sheetData>
    <row r="1" spans="1:5" x14ac:dyDescent="0.35">
      <c r="A1" s="40" t="s">
        <v>239</v>
      </c>
    </row>
    <row r="2" spans="1:5" x14ac:dyDescent="0.35">
      <c r="A2" s="40" t="s">
        <v>174</v>
      </c>
    </row>
    <row r="3" spans="1:5" x14ac:dyDescent="0.35">
      <c r="A3" s="40" t="s">
        <v>240</v>
      </c>
    </row>
    <row r="6" spans="1:5" ht="15" thickBot="1" x14ac:dyDescent="0.4">
      <c r="A6" t="s">
        <v>189</v>
      </c>
    </row>
    <row r="7" spans="1:5" x14ac:dyDescent="0.35">
      <c r="B7" s="51"/>
      <c r="C7" s="51"/>
      <c r="D7" s="51" t="s">
        <v>241</v>
      </c>
      <c r="E7" s="51" t="s">
        <v>242</v>
      </c>
    </row>
    <row r="8" spans="1:5" ht="15" thickBot="1" x14ac:dyDescent="0.4">
      <c r="B8" s="52" t="s">
        <v>186</v>
      </c>
      <c r="C8" s="52" t="s">
        <v>83</v>
      </c>
      <c r="D8" s="52" t="s">
        <v>44</v>
      </c>
      <c r="E8" s="52" t="s">
        <v>243</v>
      </c>
    </row>
    <row r="9" spans="1:5" x14ac:dyDescent="0.35">
      <c r="B9" s="49" t="s">
        <v>236</v>
      </c>
      <c r="C9" s="48"/>
      <c r="D9" s="48"/>
      <c r="E9" s="48"/>
    </row>
    <row r="10" spans="1:5" outlineLevel="1" x14ac:dyDescent="0.35">
      <c r="B10" s="44" t="s">
        <v>198</v>
      </c>
      <c r="C10" s="44" t="s">
        <v>199</v>
      </c>
      <c r="D10" s="44">
        <v>813.66920209268483</v>
      </c>
      <c r="E10" s="44">
        <v>0</v>
      </c>
    </row>
    <row r="11" spans="1:5" outlineLevel="1" x14ac:dyDescent="0.35">
      <c r="B11" s="44" t="s">
        <v>201</v>
      </c>
      <c r="C11" s="44" t="s">
        <v>202</v>
      </c>
      <c r="D11" s="44">
        <v>-0.10997977319166412</v>
      </c>
      <c r="E11" s="44">
        <v>0</v>
      </c>
    </row>
    <row r="12" spans="1:5" outlineLevel="1" x14ac:dyDescent="0.35">
      <c r="B12" s="44" t="s">
        <v>203</v>
      </c>
      <c r="C12" s="44" t="s">
        <v>204</v>
      </c>
      <c r="D12" s="44">
        <v>-0.13256892075750201</v>
      </c>
      <c r="E12" s="44">
        <v>0</v>
      </c>
    </row>
    <row r="13" spans="1:5" outlineLevel="1" x14ac:dyDescent="0.35">
      <c r="B13" s="44" t="s">
        <v>205</v>
      </c>
      <c r="C13" s="44" t="s">
        <v>206</v>
      </c>
      <c r="D13" s="44">
        <v>0</v>
      </c>
      <c r="E13" s="44">
        <v>0</v>
      </c>
    </row>
    <row r="14" spans="1:5" outlineLevel="1" x14ac:dyDescent="0.35">
      <c r="B14" s="44" t="s">
        <v>207</v>
      </c>
      <c r="C14" s="44" t="s">
        <v>208</v>
      </c>
      <c r="D14" s="44">
        <v>0</v>
      </c>
      <c r="E14" s="44">
        <v>0</v>
      </c>
    </row>
    <row r="15" spans="1:5" outlineLevel="1" x14ac:dyDescent="0.35">
      <c r="B15" s="44" t="s">
        <v>209</v>
      </c>
      <c r="C15" s="44" t="s">
        <v>44</v>
      </c>
      <c r="D15" s="44">
        <v>0</v>
      </c>
      <c r="E15" s="44">
        <v>0</v>
      </c>
    </row>
    <row r="16" spans="1:5" outlineLevel="1" x14ac:dyDescent="0.35">
      <c r="B16" s="44" t="s">
        <v>210</v>
      </c>
      <c r="C16" s="44" t="s">
        <v>44</v>
      </c>
      <c r="D16" s="44">
        <v>0</v>
      </c>
      <c r="E16" s="44">
        <v>0</v>
      </c>
    </row>
    <row r="17" spans="1:5" outlineLevel="1" x14ac:dyDescent="0.35">
      <c r="B17" s="44" t="s">
        <v>211</v>
      </c>
      <c r="C17" s="44" t="s">
        <v>44</v>
      </c>
      <c r="D17" s="44">
        <v>0</v>
      </c>
      <c r="E17" s="44">
        <v>0</v>
      </c>
    </row>
    <row r="18" spans="1:5" outlineLevel="1" x14ac:dyDescent="0.35">
      <c r="B18" s="44" t="s">
        <v>212</v>
      </c>
      <c r="C18" s="44" t="s">
        <v>44</v>
      </c>
      <c r="D18" s="44">
        <v>0</v>
      </c>
      <c r="E18" s="44">
        <v>0</v>
      </c>
    </row>
    <row r="19" spans="1:5" ht="15" outlineLevel="1" thickBot="1" x14ac:dyDescent="0.4">
      <c r="B19" s="41" t="s">
        <v>213</v>
      </c>
      <c r="C19" s="41" t="s">
        <v>44</v>
      </c>
      <c r="D19" s="41">
        <v>0</v>
      </c>
      <c r="E19" s="41">
        <v>0</v>
      </c>
    </row>
    <row r="20" spans="1:5" x14ac:dyDescent="0.35">
      <c r="B20" s="43"/>
      <c r="C20" s="43"/>
      <c r="D20" s="43"/>
      <c r="E20" s="43"/>
    </row>
    <row r="22" spans="1:5" x14ac:dyDescent="0.35">
      <c r="A22" t="s">
        <v>191</v>
      </c>
    </row>
    <row r="23" spans="1:5" x14ac:dyDescent="0.35">
      <c r="B23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7D32-929C-4A9F-BEC1-8A5D83F37A95}">
  <dimension ref="A1:J24"/>
  <sheetViews>
    <sheetView showGridLines="0" workbookViewId="0"/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18.6328125" bestFit="1" customWidth="1"/>
    <col min="4" max="4" width="10.36328125" bestFit="1" customWidth="1"/>
    <col min="5" max="5" width="2.1796875" customWidth="1"/>
    <col min="6" max="6" width="8.36328125" bestFit="1" customWidth="1"/>
    <col min="7" max="7" width="13.453125" bestFit="1" customWidth="1"/>
    <col min="8" max="8" width="2.1796875" customWidth="1"/>
    <col min="9" max="9" width="8.36328125" bestFit="1" customWidth="1"/>
    <col min="10" max="10" width="13.453125" bestFit="1" customWidth="1"/>
  </cols>
  <sheetData>
    <row r="1" spans="1:10" x14ac:dyDescent="0.35">
      <c r="A1" s="40" t="s">
        <v>245</v>
      </c>
    </row>
    <row r="2" spans="1:10" x14ac:dyDescent="0.35">
      <c r="A2" s="40" t="s">
        <v>174</v>
      </c>
    </row>
    <row r="3" spans="1:10" x14ac:dyDescent="0.35">
      <c r="A3" s="40" t="s">
        <v>246</v>
      </c>
    </row>
    <row r="5" spans="1:10" ht="15" thickBot="1" x14ac:dyDescent="0.4"/>
    <row r="6" spans="1:10" x14ac:dyDescent="0.35">
      <c r="B6" s="51"/>
      <c r="C6" s="51" t="s">
        <v>247</v>
      </c>
      <c r="D6" s="51"/>
    </row>
    <row r="7" spans="1:10" ht="15" thickBot="1" x14ac:dyDescent="0.4">
      <c r="B7" s="52" t="s">
        <v>186</v>
      </c>
      <c r="C7" s="52" t="s">
        <v>83</v>
      </c>
      <c r="D7" s="52" t="s">
        <v>44</v>
      </c>
    </row>
    <row r="8" spans="1:10" ht="15" thickBot="1" x14ac:dyDescent="0.4">
      <c r="B8" s="41" t="s">
        <v>196</v>
      </c>
      <c r="C8" s="41" t="s">
        <v>197</v>
      </c>
      <c r="D8" s="45">
        <v>197.54215765014365</v>
      </c>
    </row>
    <row r="10" spans="1:10" ht="15" thickBot="1" x14ac:dyDescent="0.4"/>
    <row r="11" spans="1:10" x14ac:dyDescent="0.35">
      <c r="B11" s="51"/>
      <c r="C11" s="51" t="s">
        <v>248</v>
      </c>
      <c r="D11" s="51"/>
      <c r="F11" s="51" t="s">
        <v>249</v>
      </c>
      <c r="G11" s="51" t="s">
        <v>247</v>
      </c>
      <c r="I11" s="51" t="s">
        <v>252</v>
      </c>
      <c r="J11" s="51" t="s">
        <v>247</v>
      </c>
    </row>
    <row r="12" spans="1:10" ht="15" thickBot="1" x14ac:dyDescent="0.4">
      <c r="B12" s="52" t="s">
        <v>186</v>
      </c>
      <c r="C12" s="52" t="s">
        <v>83</v>
      </c>
      <c r="D12" s="52" t="s">
        <v>44</v>
      </c>
      <c r="F12" s="52" t="s">
        <v>250</v>
      </c>
      <c r="G12" s="52" t="s">
        <v>251</v>
      </c>
      <c r="I12" s="52" t="s">
        <v>250</v>
      </c>
      <c r="J12" s="52" t="s">
        <v>251</v>
      </c>
    </row>
    <row r="13" spans="1:10" x14ac:dyDescent="0.35">
      <c r="B13" s="49" t="s">
        <v>236</v>
      </c>
      <c r="C13" s="48"/>
      <c r="D13" s="48"/>
      <c r="F13" s="48"/>
      <c r="G13" s="48"/>
      <c r="I13" s="48"/>
      <c r="J13" s="48"/>
    </row>
    <row r="14" spans="1:10" hidden="1" outlineLevel="1" x14ac:dyDescent="0.35">
      <c r="B14" s="44" t="s">
        <v>198</v>
      </c>
      <c r="C14" s="44" t="s">
        <v>199</v>
      </c>
      <c r="D14" s="46">
        <v>813.66920209268483</v>
      </c>
      <c r="F14" s="46">
        <v>0</v>
      </c>
      <c r="G14" s="46">
        <v>782500.01286918647</v>
      </c>
      <c r="I14" s="44" t="e">
        <v>#N/A</v>
      </c>
      <c r="J14" s="44" t="e">
        <v>#N/A</v>
      </c>
    </row>
    <row r="15" spans="1:10" hidden="1" outlineLevel="1" x14ac:dyDescent="0.35">
      <c r="B15" s="44" t="s">
        <v>201</v>
      </c>
      <c r="C15" s="44" t="s">
        <v>202</v>
      </c>
      <c r="D15" s="46">
        <v>-0.10997977319166412</v>
      </c>
      <c r="F15" s="46">
        <v>0</v>
      </c>
      <c r="G15" s="46">
        <v>139690.51721532998</v>
      </c>
      <c r="I15" s="46">
        <v>0</v>
      </c>
      <c r="J15" s="46">
        <v>139690.51721532998</v>
      </c>
    </row>
    <row r="16" spans="1:10" hidden="1" outlineLevel="1" x14ac:dyDescent="0.35">
      <c r="B16" s="44" t="s">
        <v>203</v>
      </c>
      <c r="C16" s="44" t="s">
        <v>204</v>
      </c>
      <c r="D16" s="46">
        <v>-0.13256892075750201</v>
      </c>
      <c r="F16" s="46">
        <v>0</v>
      </c>
      <c r="G16" s="46">
        <v>160856.99289256611</v>
      </c>
      <c r="I16" s="46">
        <v>0</v>
      </c>
      <c r="J16" s="46">
        <v>160856.99289256611</v>
      </c>
    </row>
    <row r="17" spans="2:10" hidden="1" outlineLevel="1" x14ac:dyDescent="0.35">
      <c r="B17" s="44" t="s">
        <v>205</v>
      </c>
      <c r="C17" s="44" t="s">
        <v>206</v>
      </c>
      <c r="D17" s="46">
        <v>0</v>
      </c>
      <c r="F17" s="46">
        <v>0</v>
      </c>
      <c r="G17" s="46">
        <v>197.54215765014365</v>
      </c>
      <c r="I17" s="46">
        <v>0</v>
      </c>
      <c r="J17" s="46">
        <v>197.54215765014365</v>
      </c>
    </row>
    <row r="18" spans="2:10" hidden="1" outlineLevel="1" x14ac:dyDescent="0.35">
      <c r="B18" s="44" t="s">
        <v>207</v>
      </c>
      <c r="C18" s="44" t="s">
        <v>208</v>
      </c>
      <c r="D18" s="46">
        <v>0</v>
      </c>
      <c r="F18" s="46">
        <v>0</v>
      </c>
      <c r="G18" s="46">
        <v>197.54215765014365</v>
      </c>
      <c r="I18" s="46">
        <v>0</v>
      </c>
      <c r="J18" s="46">
        <v>197.54215765014365</v>
      </c>
    </row>
    <row r="19" spans="2:10" hidden="1" outlineLevel="1" x14ac:dyDescent="0.35">
      <c r="B19" s="44" t="s">
        <v>209</v>
      </c>
      <c r="C19" s="44" t="s">
        <v>44</v>
      </c>
      <c r="D19" s="46">
        <v>0</v>
      </c>
      <c r="F19" s="46">
        <v>0</v>
      </c>
      <c r="G19" s="46">
        <v>197.54215765014365</v>
      </c>
      <c r="I19" s="46">
        <v>0</v>
      </c>
      <c r="J19" s="46">
        <v>197.54215765014365</v>
      </c>
    </row>
    <row r="20" spans="2:10" hidden="1" outlineLevel="1" x14ac:dyDescent="0.35">
      <c r="B20" s="44" t="s">
        <v>210</v>
      </c>
      <c r="C20" s="44" t="s">
        <v>44</v>
      </c>
      <c r="D20" s="46">
        <v>0</v>
      </c>
      <c r="F20" s="46">
        <v>0</v>
      </c>
      <c r="G20" s="46">
        <v>197.54215765014365</v>
      </c>
      <c r="I20" s="46">
        <v>0</v>
      </c>
      <c r="J20" s="46">
        <v>197.54215765014365</v>
      </c>
    </row>
    <row r="21" spans="2:10" hidden="1" outlineLevel="1" x14ac:dyDescent="0.35">
      <c r="B21" s="44" t="s">
        <v>211</v>
      </c>
      <c r="C21" s="44" t="s">
        <v>44</v>
      </c>
      <c r="D21" s="46">
        <v>0</v>
      </c>
      <c r="F21" s="46">
        <v>0</v>
      </c>
      <c r="G21" s="46">
        <v>197.54215765014365</v>
      </c>
      <c r="I21" s="46">
        <v>0</v>
      </c>
      <c r="J21" s="46">
        <v>197.54215765014365</v>
      </c>
    </row>
    <row r="22" spans="2:10" hidden="1" outlineLevel="1" x14ac:dyDescent="0.35">
      <c r="B22" s="44" t="s">
        <v>212</v>
      </c>
      <c r="C22" s="44" t="s">
        <v>44</v>
      </c>
      <c r="D22" s="46">
        <v>0</v>
      </c>
      <c r="F22" s="46">
        <v>0</v>
      </c>
      <c r="G22" s="46">
        <v>197.54215765014365</v>
      </c>
      <c r="I22" s="46">
        <v>0</v>
      </c>
      <c r="J22" s="46">
        <v>197.54215765014365</v>
      </c>
    </row>
    <row r="23" spans="2:10" ht="15" hidden="1" outlineLevel="1" thickBot="1" x14ac:dyDescent="0.4">
      <c r="B23" s="41" t="s">
        <v>213</v>
      </c>
      <c r="C23" s="41" t="s">
        <v>44</v>
      </c>
      <c r="D23" s="45">
        <v>0</v>
      </c>
      <c r="F23" s="45">
        <v>0</v>
      </c>
      <c r="G23" s="45">
        <v>197.54215765014365</v>
      </c>
      <c r="I23" s="45">
        <v>0</v>
      </c>
      <c r="J23" s="45">
        <v>197.54215765014365</v>
      </c>
    </row>
    <row r="24" spans="2:10" collapsed="1" x14ac:dyDescent="0.35">
      <c r="B24" s="43"/>
      <c r="C24" s="43"/>
      <c r="D24" s="47"/>
      <c r="F24" s="47"/>
      <c r="G24" s="47"/>
      <c r="I24" s="47"/>
      <c r="J24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L63"/>
  <sheetViews>
    <sheetView tabSelected="1" zoomScaleNormal="100" workbookViewId="0">
      <selection activeCell="J59" sqref="J59"/>
    </sheetView>
  </sheetViews>
  <sheetFormatPr defaultColWidth="8.6328125" defaultRowHeight="14.5" x14ac:dyDescent="0.35"/>
  <cols>
    <col min="1" max="1" width="35.26953125" bestFit="1" customWidth="1"/>
    <col min="2" max="2" width="14" customWidth="1"/>
    <col min="3" max="3" width="14.90625" bestFit="1" customWidth="1"/>
    <col min="4" max="4" width="16" customWidth="1"/>
    <col min="5" max="12" width="14" customWidth="1"/>
  </cols>
  <sheetData>
    <row r="1" spans="1:12" ht="17.2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15" customHeight="1" x14ac:dyDescent="0.35">
      <c r="A4" s="7" t="s">
        <v>2</v>
      </c>
    </row>
    <row r="5" spans="1:12" ht="15" customHeight="1" x14ac:dyDescent="0.35">
      <c r="A5" s="8" t="s">
        <v>3</v>
      </c>
      <c r="B5" s="9">
        <v>0.1</v>
      </c>
      <c r="C5" s="62" t="s">
        <v>4</v>
      </c>
      <c r="D5" s="63"/>
      <c r="E5" s="63"/>
      <c r="F5" s="63"/>
    </row>
    <row r="6" spans="1:12" ht="15" customHeight="1" x14ac:dyDescent="0.35">
      <c r="A6" s="8" t="s">
        <v>5</v>
      </c>
      <c r="B6" s="9">
        <v>0.5</v>
      </c>
      <c r="C6" s="62" t="s">
        <v>6</v>
      </c>
      <c r="D6" s="63"/>
      <c r="E6" s="63"/>
      <c r="F6" s="63"/>
    </row>
    <row r="7" spans="1:12" ht="15" customHeight="1" x14ac:dyDescent="0.35">
      <c r="A7" s="8" t="s">
        <v>7</v>
      </c>
      <c r="B7" s="9" t="s">
        <v>8</v>
      </c>
      <c r="C7" s="62" t="s">
        <v>9</v>
      </c>
      <c r="D7" s="63"/>
      <c r="E7" s="63"/>
      <c r="F7" s="63"/>
    </row>
    <row r="8" spans="1:12" ht="15" customHeight="1" x14ac:dyDescent="0.35">
      <c r="A8" s="8" t="s">
        <v>10</v>
      </c>
      <c r="B8" s="9" t="s">
        <v>11</v>
      </c>
      <c r="C8" s="62" t="s">
        <v>12</v>
      </c>
      <c r="D8" s="63"/>
      <c r="E8" s="63"/>
      <c r="F8" s="63"/>
    </row>
    <row r="10" spans="1:12" ht="15" customHeight="1" x14ac:dyDescent="0.35">
      <c r="A10" s="7" t="s">
        <v>13</v>
      </c>
    </row>
    <row r="11" spans="1:12" ht="15" customHeight="1" x14ac:dyDescent="0.35">
      <c r="A11" s="10" t="s">
        <v>14</v>
      </c>
      <c r="B11" s="11" t="s">
        <v>15</v>
      </c>
      <c r="C11" s="64" cm="1">
        <f t="array" ref="C11">SUMPRODUCT(IF(pcreg_DataTable[Include]="",0,pcreg_DataTable[Include])*(pcreg_DataTable[Loss_i]))</f>
        <v>197.52928846371464</v>
      </c>
    </row>
    <row r="12" spans="1:12" ht="15" customHeight="1" x14ac:dyDescent="0.35">
      <c r="A12" s="10" t="s">
        <v>16</v>
      </c>
      <c r="C12" s="12">
        <f>B44</f>
        <v>1.2127434697458308E-2</v>
      </c>
    </row>
    <row r="13" spans="1:12" ht="15" customHeight="1" x14ac:dyDescent="0.35">
      <c r="A13" s="10" t="s">
        <v>17</v>
      </c>
      <c r="C13" s="12">
        <f>B45</f>
        <v>7.4175173155246825E-4</v>
      </c>
    </row>
    <row r="14" spans="1:12" ht="15" customHeight="1" x14ac:dyDescent="0.35">
      <c r="A14" s="10" t="s">
        <v>18</v>
      </c>
      <c r="C14" s="12">
        <f>C12+C13</f>
        <v>1.2869186429010776E-2</v>
      </c>
    </row>
    <row r="16" spans="1:12" ht="17.25" customHeight="1" x14ac:dyDescent="0.35">
      <c r="A16" s="13" t="s">
        <v>19</v>
      </c>
      <c r="B16" s="14" t="s">
        <v>20</v>
      </c>
      <c r="C16" s="15">
        <f>C11+C14</f>
        <v>197.54215765014365</v>
      </c>
    </row>
    <row r="17" spans="1:12" ht="15" customHeight="1" x14ac:dyDescent="0.35">
      <c r="A17" s="8" t="s">
        <v>21</v>
      </c>
      <c r="B17" s="38">
        <f>SUM(pcreg_DataTable[Include])</f>
        <v>5</v>
      </c>
    </row>
    <row r="18" spans="1:12" ht="15" customHeight="1" x14ac:dyDescent="0.35">
      <c r="A18" s="8" t="s">
        <v>22</v>
      </c>
      <c r="B18" s="28">
        <f>SUM(C46:L46)</f>
        <v>3</v>
      </c>
      <c r="C18" s="57"/>
      <c r="D18" s="58"/>
    </row>
    <row r="19" spans="1:12" ht="15" customHeight="1" x14ac:dyDescent="0.35">
      <c r="A19" s="59" t="s">
        <v>254</v>
      </c>
      <c r="B19" s="60">
        <f>SUM(C47:L47)</f>
        <v>0</v>
      </c>
      <c r="C19" s="57"/>
      <c r="D19" s="58"/>
    </row>
    <row r="20" spans="1:12" ht="15" customHeight="1" x14ac:dyDescent="0.35">
      <c r="A20" s="59" t="s">
        <v>255</v>
      </c>
      <c r="B20" s="60">
        <f>B17-B18-B19</f>
        <v>2</v>
      </c>
      <c r="C20" s="57"/>
      <c r="D20" s="58"/>
    </row>
    <row r="22" spans="1:12" ht="15" customHeight="1" x14ac:dyDescent="0.35">
      <c r="A22" s="7" t="s">
        <v>23</v>
      </c>
    </row>
    <row r="23" spans="1:12" ht="15" customHeight="1" x14ac:dyDescent="0.35">
      <c r="A23" s="3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" customHeight="1" x14ac:dyDescent="0.35">
      <c r="A24" s="3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" customHeight="1" x14ac:dyDescent="0.35">
      <c r="A25" s="3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" customHeight="1" x14ac:dyDescent="0.35">
      <c r="A26" s="3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5" customHeight="1" x14ac:dyDescent="0.35">
      <c r="A27" s="3" t="s">
        <v>28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" customHeight="1" x14ac:dyDescent="0.35">
      <c r="A28" s="3" t="s">
        <v>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5" customHeight="1" x14ac:dyDescent="0.35">
      <c r="A29" s="3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5" customHeight="1" x14ac:dyDescent="0.35">
      <c r="A30" s="3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5" customHeight="1" x14ac:dyDescent="0.35">
      <c r="A31" s="3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5" customHeight="1" x14ac:dyDescent="0.35">
      <c r="A32" s="3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" customHeight="1" x14ac:dyDescent="0.35">
      <c r="A33" s="3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" customHeight="1" x14ac:dyDescent="0.35">
      <c r="A34" s="3" t="s">
        <v>35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6" spans="1:12" ht="15" customHeight="1" x14ac:dyDescent="0.35">
      <c r="A36" s="7" t="s">
        <v>36</v>
      </c>
      <c r="D36" s="53"/>
      <c r="E36" s="53"/>
    </row>
    <row r="37" spans="1:12" ht="15" customHeight="1" x14ac:dyDescent="0.35">
      <c r="A37" s="17" t="s">
        <v>37</v>
      </c>
      <c r="B37" s="18" t="s">
        <v>38</v>
      </c>
      <c r="C37" s="9" t="s">
        <v>39</v>
      </c>
      <c r="D37" s="9" t="s">
        <v>40</v>
      </c>
      <c r="E37" s="9" t="s">
        <v>41</v>
      </c>
      <c r="F37" s="9" t="s">
        <v>42</v>
      </c>
      <c r="G37" s="9" t="s">
        <v>43</v>
      </c>
      <c r="H37" s="9"/>
      <c r="I37" s="9"/>
      <c r="J37" s="9"/>
      <c r="K37" s="9"/>
      <c r="L37" s="9"/>
    </row>
    <row r="38" spans="1:12" ht="15" customHeight="1" x14ac:dyDescent="0.35">
      <c r="A38" s="10" t="s">
        <v>44</v>
      </c>
      <c r="B38" s="19"/>
      <c r="C38" s="20">
        <v>813.66920209268483</v>
      </c>
      <c r="D38" s="20">
        <v>-0.10997977319166412</v>
      </c>
      <c r="E38" s="20">
        <v>-0.13256892075750201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</row>
    <row r="39" spans="1:12" ht="15" customHeight="1" x14ac:dyDescent="0.35">
      <c r="A39" s="10" t="s">
        <v>45</v>
      </c>
      <c r="B39" s="19"/>
      <c r="C39" s="21">
        <v>0</v>
      </c>
      <c r="D39" s="21">
        <v>-1</v>
      </c>
      <c r="E39" s="21">
        <v>-1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</row>
    <row r="40" spans="1:12" ht="15" customHeight="1" x14ac:dyDescent="0.35">
      <c r="A40" s="10" t="s">
        <v>46</v>
      </c>
      <c r="B40" s="19"/>
      <c r="C40" s="21">
        <v>10000000000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</row>
    <row r="41" spans="1:12" ht="15" customHeight="1" x14ac:dyDescent="0.35">
      <c r="A41" s="10" t="s">
        <v>47</v>
      </c>
      <c r="B41" s="19"/>
      <c r="C41" s="21" t="s">
        <v>48</v>
      </c>
      <c r="D41" s="21" t="s">
        <v>11</v>
      </c>
      <c r="E41" s="21" t="s">
        <v>11</v>
      </c>
      <c r="F41" s="21" t="s">
        <v>11</v>
      </c>
      <c r="G41" s="21" t="s">
        <v>11</v>
      </c>
      <c r="H41" s="21"/>
      <c r="I41" s="21"/>
      <c r="J41" s="21"/>
      <c r="K41" s="21"/>
      <c r="L41" s="21"/>
    </row>
    <row r="42" spans="1:12" ht="15" customHeight="1" x14ac:dyDescent="0.35">
      <c r="A42" s="10" t="s">
        <v>49</v>
      </c>
      <c r="B42" s="22">
        <f>SUM(C42:L42)</f>
        <v>813.911750786634</v>
      </c>
      <c r="C42" s="23">
        <f t="shared" ref="C42:L42" si="0">IF(C37="","",ABS(C38))</f>
        <v>813.66920209268483</v>
      </c>
      <c r="D42" s="23">
        <f t="shared" si="0"/>
        <v>0.10997977319166412</v>
      </c>
      <c r="E42" s="23">
        <f t="shared" si="0"/>
        <v>0.13256892075750201</v>
      </c>
      <c r="F42" s="23">
        <f t="shared" si="0"/>
        <v>0</v>
      </c>
      <c r="G42" s="23">
        <f t="shared" si="0"/>
        <v>0</v>
      </c>
      <c r="H42" s="23" t="str">
        <f t="shared" si="0"/>
        <v/>
      </c>
      <c r="I42" s="23" t="str">
        <f t="shared" si="0"/>
        <v/>
      </c>
      <c r="J42" s="23" t="str">
        <f t="shared" si="0"/>
        <v/>
      </c>
      <c r="K42" s="23" t="str">
        <f t="shared" si="0"/>
        <v/>
      </c>
      <c r="L42" s="23" t="str">
        <f t="shared" si="0"/>
        <v/>
      </c>
    </row>
    <row r="43" spans="1:12" ht="15" customHeight="1" x14ac:dyDescent="0.35">
      <c r="A43" s="10" t="s">
        <v>50</v>
      </c>
      <c r="B43" s="22">
        <f>SUM(C43:L43)</f>
        <v>662057.60010421567</v>
      </c>
      <c r="C43" s="23">
        <f t="shared" ref="C43:L43" si="1">IF(C37="","",C38^2)</f>
        <v>662057.57043414633</v>
      </c>
      <c r="D43" s="23">
        <f t="shared" si="1"/>
        <v>1.2095550511289882E-2</v>
      </c>
      <c r="E43" s="23">
        <f t="shared" si="1"/>
        <v>1.7574518750808846E-2</v>
      </c>
      <c r="F43" s="23">
        <f t="shared" si="1"/>
        <v>0</v>
      </c>
      <c r="G43" s="23">
        <f t="shared" si="1"/>
        <v>0</v>
      </c>
      <c r="H43" s="23" t="str">
        <f t="shared" si="1"/>
        <v/>
      </c>
      <c r="I43" s="23" t="str">
        <f t="shared" si="1"/>
        <v/>
      </c>
      <c r="J43" s="23" t="str">
        <f t="shared" si="1"/>
        <v/>
      </c>
      <c r="K43" s="23" t="str">
        <f t="shared" si="1"/>
        <v/>
      </c>
      <c r="L43" s="23" t="str">
        <f t="shared" si="1"/>
        <v/>
      </c>
    </row>
    <row r="44" spans="1:12" ht="15" customHeight="1" x14ac:dyDescent="0.35">
      <c r="A44" s="10" t="s">
        <v>16</v>
      </c>
      <c r="B44" s="22">
        <f>SUM(C44:L44)</f>
        <v>1.2127434697458308E-2</v>
      </c>
      <c r="C44" s="23">
        <f t="shared" ref="C44:L44" si="2">IF(OR(C37="",C41&lt;&gt;"YES"),0,$B$5*$B$6*C42)</f>
        <v>0</v>
      </c>
      <c r="D44" s="23">
        <f t="shared" si="2"/>
        <v>5.4989886595832064E-3</v>
      </c>
      <c r="E44" s="23">
        <f t="shared" si="2"/>
        <v>6.6284460378751011E-3</v>
      </c>
      <c r="F44" s="23">
        <f t="shared" si="2"/>
        <v>0</v>
      </c>
      <c r="G44" s="23">
        <f t="shared" si="2"/>
        <v>0</v>
      </c>
      <c r="H44" s="23">
        <f t="shared" si="2"/>
        <v>0</v>
      </c>
      <c r="I44" s="23">
        <f t="shared" si="2"/>
        <v>0</v>
      </c>
      <c r="J44" s="23">
        <f t="shared" si="2"/>
        <v>0</v>
      </c>
      <c r="K44" s="23">
        <f t="shared" si="2"/>
        <v>0</v>
      </c>
      <c r="L44" s="23">
        <f t="shared" si="2"/>
        <v>0</v>
      </c>
    </row>
    <row r="45" spans="1:12" ht="15" customHeight="1" x14ac:dyDescent="0.35">
      <c r="A45" s="10" t="s">
        <v>17</v>
      </c>
      <c r="B45" s="22">
        <f>SUM(C45:L45)</f>
        <v>7.4175173155246825E-4</v>
      </c>
      <c r="C45" s="23">
        <f t="shared" ref="C45:L45" si="3">IF(OR(C37="",C41&lt;&gt;"YES"),0,0.5*$B$5*(1-$B$6)*C43)</f>
        <v>0</v>
      </c>
      <c r="D45" s="23">
        <f t="shared" si="3"/>
        <v>3.0238876278224709E-4</v>
      </c>
      <c r="E45" s="23">
        <f t="shared" si="3"/>
        <v>4.3936296877022116E-4</v>
      </c>
      <c r="F45" s="23">
        <f t="shared" si="3"/>
        <v>0</v>
      </c>
      <c r="G45" s="23">
        <f t="shared" si="3"/>
        <v>0</v>
      </c>
      <c r="H45" s="23">
        <f t="shared" si="3"/>
        <v>0</v>
      </c>
      <c r="I45" s="23">
        <f t="shared" si="3"/>
        <v>0</v>
      </c>
      <c r="J45" s="23">
        <f t="shared" si="3"/>
        <v>0</v>
      </c>
      <c r="K45" s="23">
        <f t="shared" si="3"/>
        <v>0</v>
      </c>
      <c r="L45" s="23">
        <f t="shared" si="3"/>
        <v>0</v>
      </c>
    </row>
    <row r="46" spans="1:12" ht="15" customHeight="1" x14ac:dyDescent="0.35">
      <c r="A46" s="56" t="s">
        <v>253</v>
      </c>
      <c r="B46" s="54"/>
      <c r="C46" s="55">
        <f>IF(C38=0,0,1)</f>
        <v>1</v>
      </c>
      <c r="D46" s="55">
        <f t="shared" ref="D46:L46" si="4">IF(D38=0,0,1)</f>
        <v>1</v>
      </c>
      <c r="E46" s="55">
        <f t="shared" si="4"/>
        <v>1</v>
      </c>
      <c r="F46" s="55">
        <f t="shared" si="4"/>
        <v>0</v>
      </c>
      <c r="G46" s="55">
        <f t="shared" si="4"/>
        <v>0</v>
      </c>
      <c r="H46" s="55">
        <f t="shared" si="4"/>
        <v>0</v>
      </c>
      <c r="I46" s="55">
        <f t="shared" si="4"/>
        <v>0</v>
      </c>
      <c r="J46" s="55">
        <f t="shared" si="4"/>
        <v>0</v>
      </c>
      <c r="K46" s="55">
        <f t="shared" si="4"/>
        <v>0</v>
      </c>
      <c r="L46" s="55">
        <f t="shared" si="4"/>
        <v>0</v>
      </c>
    </row>
    <row r="47" spans="1:12" ht="15" customHeight="1" x14ac:dyDescent="0.35">
      <c r="A47" s="56" t="s">
        <v>219</v>
      </c>
      <c r="B47" s="54"/>
      <c r="C47" s="55" t="b">
        <f>AND(OR(C38=C39,C40=C38),C46=1)</f>
        <v>0</v>
      </c>
      <c r="D47" s="55" t="b">
        <f t="shared" ref="D47:L47" si="5">AND(OR(D38=D39,D40=D38),D46=1)</f>
        <v>0</v>
      </c>
      <c r="E47" s="55" t="b">
        <f t="shared" si="5"/>
        <v>0</v>
      </c>
      <c r="F47" s="55" t="b">
        <f t="shared" si="5"/>
        <v>0</v>
      </c>
      <c r="G47" s="55" t="b">
        <f t="shared" si="5"/>
        <v>0</v>
      </c>
      <c r="H47" s="55" t="b">
        <f t="shared" si="5"/>
        <v>0</v>
      </c>
      <c r="I47" s="55" t="b">
        <f t="shared" si="5"/>
        <v>0</v>
      </c>
      <c r="J47" s="55" t="b">
        <f t="shared" si="5"/>
        <v>0</v>
      </c>
      <c r="K47" s="55" t="b">
        <f t="shared" si="5"/>
        <v>0</v>
      </c>
      <c r="L47" s="55" t="b">
        <f t="shared" si="5"/>
        <v>0</v>
      </c>
    </row>
    <row r="49" spans="1:11" ht="15" customHeight="1" x14ac:dyDescent="0.35">
      <c r="A49" s="7" t="s">
        <v>51</v>
      </c>
    </row>
    <row r="50" spans="1:11" ht="15" customHeight="1" x14ac:dyDescent="0.35">
      <c r="A50" s="61" t="s">
        <v>256</v>
      </c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ht="15" customHeight="1" x14ac:dyDescent="0.35">
      <c r="A51" s="10" t="s">
        <v>52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15" customHeight="1" x14ac:dyDescent="0.35">
      <c r="A52" s="10" t="s">
        <v>53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5" customHeight="1" x14ac:dyDescent="0.35">
      <c r="A53" s="10" t="s">
        <v>54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5" customHeight="1" x14ac:dyDescent="0.35">
      <c r="A54" s="10" t="s">
        <v>55</v>
      </c>
      <c r="B54" s="25" t="str">
        <f t="shared" ref="B54:K54" si="6">IF(B50=""," ",IF(B52="≤",IF(B51&lt;=B53,"✓","VIOLATED"),IF(B52="≥",IF(B51&gt;=B53,"✓","VIOLATED"),IF(B52="=",IF(ABS(B51-B53)&lt;0.000001,"✓","VIOLATED"),""))))</f>
        <v xml:space="preserve"> </v>
      </c>
      <c r="C54" s="25" t="str">
        <f t="shared" si="6"/>
        <v xml:space="preserve"> </v>
      </c>
      <c r="D54" s="25" t="str">
        <f t="shared" si="6"/>
        <v xml:space="preserve"> </v>
      </c>
      <c r="E54" s="25" t="str">
        <f t="shared" si="6"/>
        <v xml:space="preserve"> </v>
      </c>
      <c r="F54" s="25" t="str">
        <f t="shared" si="6"/>
        <v xml:space="preserve"> </v>
      </c>
      <c r="G54" s="25" t="str">
        <f t="shared" si="6"/>
        <v xml:space="preserve"> </v>
      </c>
      <c r="H54" s="25" t="str">
        <f t="shared" si="6"/>
        <v xml:space="preserve"> </v>
      </c>
      <c r="I54" s="25" t="str">
        <f t="shared" si="6"/>
        <v xml:space="preserve"> </v>
      </c>
      <c r="J54" s="25" t="str">
        <f t="shared" si="6"/>
        <v xml:space="preserve"> </v>
      </c>
      <c r="K54" s="25" t="str">
        <f t="shared" si="6"/>
        <v xml:space="preserve"> </v>
      </c>
    </row>
    <row r="56" spans="1:11" ht="15" customHeight="1" x14ac:dyDescent="0.35">
      <c r="A56" s="7" t="s">
        <v>56</v>
      </c>
    </row>
    <row r="57" spans="1:11" ht="15" customHeight="1" x14ac:dyDescent="0.35">
      <c r="A57" s="3" t="s">
        <v>57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" customHeight="1" x14ac:dyDescent="0.35">
      <c r="A58" s="34" t="s">
        <v>58</v>
      </c>
      <c r="B58" s="35" t="s">
        <v>59</v>
      </c>
      <c r="C58" s="35" t="s">
        <v>60</v>
      </c>
      <c r="D58" s="35" t="s">
        <v>61</v>
      </c>
      <c r="E58" s="35" t="s">
        <v>62</v>
      </c>
      <c r="F58" s="39" t="s">
        <v>171</v>
      </c>
      <c r="G58" s="39" t="s">
        <v>172</v>
      </c>
      <c r="H58" s="35" t="s">
        <v>63</v>
      </c>
      <c r="I58" s="35" t="s">
        <v>64</v>
      </c>
      <c r="J58" s="36" t="s">
        <v>65</v>
      </c>
    </row>
    <row r="59" spans="1:11" ht="15" customHeight="1" x14ac:dyDescent="0.35">
      <c r="A59" s="32">
        <v>1</v>
      </c>
      <c r="B59" s="26">
        <f t="shared" ref="B59:B63" si="7">IF(OR(E59="",D59=""),"",E59-D59)</f>
        <v>-2.349986213292425</v>
      </c>
      <c r="C59" s="23">
        <f t="shared" ref="C59:C63" si="8">IF(OR(E59="",D59=""),0,IF($B$7="SSE",(E59-D59)^2,IF($B$7="SSPE",IF(E59=0,(E59-D59)^2,((E59-D59)/E59)^2),IF($B$7="LAD",ABS(E59-D59),(E59-D59)^2))))</f>
        <v>5.5224352026644707</v>
      </c>
      <c r="D59" s="31">
        <f>$C$38*(pcreg_DataTable[[#This Row],[Lot_Midpoint]]^$D$38)*(pcreg_DataTable[[#This Row],[Lot_Quantity]]^$E$38)</f>
        <v>502.34998621329242</v>
      </c>
      <c r="E59" s="21">
        <v>500</v>
      </c>
      <c r="F59" s="21">
        <v>5</v>
      </c>
      <c r="G59" s="21">
        <v>10</v>
      </c>
      <c r="H59" s="21"/>
      <c r="I59" s="21"/>
      <c r="J59" s="33"/>
    </row>
    <row r="60" spans="1:11" ht="15" customHeight="1" x14ac:dyDescent="0.35">
      <c r="A60" s="32">
        <v>1</v>
      </c>
      <c r="B60" s="26">
        <f t="shared" si="7"/>
        <v>5.2124748461841364</v>
      </c>
      <c r="C60" s="23">
        <f t="shared" si="8"/>
        <v>27.169894022102337</v>
      </c>
      <c r="D60" s="31">
        <f>$C$38*(pcreg_DataTable[[#This Row],[Lot_Midpoint]]^$D$38)*(pcreg_DataTable[[#This Row],[Lot_Quantity]]^$E$38)</f>
        <v>414.78752515381586</v>
      </c>
      <c r="E60" s="21">
        <v>420</v>
      </c>
      <c r="F60" s="21">
        <v>17.5</v>
      </c>
      <c r="G60" s="21">
        <v>15</v>
      </c>
      <c r="H60" s="21"/>
      <c r="I60" s="21"/>
      <c r="J60" s="33"/>
    </row>
    <row r="61" spans="1:11" ht="15" customHeight="1" x14ac:dyDescent="0.35">
      <c r="A61" s="32">
        <v>1</v>
      </c>
      <c r="B61" s="26">
        <f t="shared" si="7"/>
        <v>10.039393901272206</v>
      </c>
      <c r="C61" s="23">
        <f t="shared" si="8"/>
        <v>100.78942990490155</v>
      </c>
      <c r="D61" s="31">
        <f>$C$38*(pcreg_DataTable[[#This Row],[Lot_Midpoint]]^$D$38)*(pcreg_DataTable[[#This Row],[Lot_Quantity]]^$E$38)</f>
        <v>369.96060609872779</v>
      </c>
      <c r="E61" s="21">
        <v>380</v>
      </c>
      <c r="F61" s="21">
        <v>35</v>
      </c>
      <c r="G61" s="21">
        <v>20</v>
      </c>
      <c r="H61" s="21"/>
      <c r="I61" s="21"/>
      <c r="J61" s="33"/>
    </row>
    <row r="62" spans="1:11" ht="15" customHeight="1" x14ac:dyDescent="0.35">
      <c r="A62" s="32">
        <v>1</v>
      </c>
      <c r="B62" s="26">
        <f t="shared" si="7"/>
        <v>-9.2151269857822626E-2</v>
      </c>
      <c r="C62" s="23">
        <f t="shared" si="8"/>
        <v>8.4918565364092494E-3</v>
      </c>
      <c r="D62" s="31">
        <f>$C$38*(pcreg_DataTable[[#This Row],[Lot_Midpoint]]^$D$38)*(pcreg_DataTable[[#This Row],[Lot_Quantity]]^$E$38)</f>
        <v>340.09215126985782</v>
      </c>
      <c r="E62" s="21">
        <v>340</v>
      </c>
      <c r="F62" s="21">
        <v>57.5</v>
      </c>
      <c r="G62" s="21">
        <v>25</v>
      </c>
      <c r="H62" s="21"/>
      <c r="I62" s="21"/>
      <c r="J62" s="33"/>
    </row>
    <row r="63" spans="1:11" ht="15" customHeight="1" x14ac:dyDescent="0.35">
      <c r="A63" s="32">
        <v>1</v>
      </c>
      <c r="B63" s="26">
        <f t="shared" si="7"/>
        <v>-8.002439470405875</v>
      </c>
      <c r="C63" s="23">
        <f t="shared" si="8"/>
        <v>64.039037477509865</v>
      </c>
      <c r="D63" s="31">
        <f>$C$38*(pcreg_DataTable[[#This Row],[Lot_Midpoint]]^$D$38)*(pcreg_DataTable[[#This Row],[Lot_Quantity]]^$E$38)</f>
        <v>318.00243947040587</v>
      </c>
      <c r="E63" s="21">
        <v>310</v>
      </c>
      <c r="F63" s="21">
        <v>85</v>
      </c>
      <c r="G63" s="21">
        <v>30</v>
      </c>
      <c r="H63" s="21"/>
      <c r="I63" s="21"/>
      <c r="J63" s="33"/>
    </row>
  </sheetData>
  <mergeCells count="19">
    <mergeCell ref="A31:L31"/>
    <mergeCell ref="A32:L32"/>
    <mergeCell ref="A33:L33"/>
    <mergeCell ref="A34:L34"/>
    <mergeCell ref="A57:K57"/>
    <mergeCell ref="A26:L26"/>
    <mergeCell ref="A27:L27"/>
    <mergeCell ref="A28:L28"/>
    <mergeCell ref="A29:L29"/>
    <mergeCell ref="A30:L30"/>
    <mergeCell ref="A1:L1"/>
    <mergeCell ref="A2:L2"/>
    <mergeCell ref="A23:L23"/>
    <mergeCell ref="A24:L24"/>
    <mergeCell ref="A25:L25"/>
    <mergeCell ref="C5:F5"/>
    <mergeCell ref="C6:F6"/>
    <mergeCell ref="C7:F7"/>
    <mergeCell ref="C8:F8"/>
  </mergeCells>
  <conditionalFormatting sqref="B54:K54">
    <cfRule type="cellIs" dxfId="1" priority="2" operator="equal">
      <formula>"VIOLATED"</formula>
    </cfRule>
  </conditionalFormatting>
  <dataValidations count="4">
    <dataValidation type="list" sqref="B7" xr:uid="{00000000-0002-0000-0000-000000000000}">
      <formula1>"SSE,SSPE,LAD"</formula1>
      <formula2>0</formula2>
    </dataValidation>
    <dataValidation type="list" sqref="B8" xr:uid="{00000000-0002-0000-0000-000001000000}">
      <formula1>"YES,NO"</formula1>
      <formula2>0</formula2>
    </dataValidation>
    <dataValidation type="list" allowBlank="1" sqref="C41:L41" xr:uid="{00000000-0002-0000-0000-000002000000}">
      <formula1>"YES,NO"</formula1>
      <formula2>0</formula2>
    </dataValidation>
    <dataValidation type="list" allowBlank="1" sqref="B52:K52" xr:uid="{00000000-0002-0000-0000-00000C000000}">
      <formula1>"≤,=,≥"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46"/>
  <sheetViews>
    <sheetView zoomScaleNormal="100" workbookViewId="0">
      <selection activeCell="J59" sqref="J59"/>
    </sheetView>
  </sheetViews>
  <sheetFormatPr defaultColWidth="8.6328125" defaultRowHeight="14.5" x14ac:dyDescent="0.35"/>
  <cols>
    <col min="1" max="7" width="18" customWidth="1"/>
  </cols>
  <sheetData>
    <row r="1" spans="1:2" ht="17.25" customHeight="1" x14ac:dyDescent="0.35">
      <c r="A1" s="6" t="s">
        <v>66</v>
      </c>
    </row>
    <row r="3" spans="1:2" ht="15" customHeight="1" x14ac:dyDescent="0.35">
      <c r="A3" s="7" t="s">
        <v>67</v>
      </c>
    </row>
    <row r="4" spans="1:2" ht="15" customHeight="1" x14ac:dyDescent="0.35">
      <c r="A4" s="8" t="s">
        <v>68</v>
      </c>
      <c r="B4" s="27">
        <f>Model!B17</f>
        <v>5</v>
      </c>
    </row>
    <row r="5" spans="1:2" ht="15" customHeight="1" x14ac:dyDescent="0.35">
      <c r="A5" s="8" t="s">
        <v>69</v>
      </c>
      <c r="B5" s="27">
        <f>Model!B18</f>
        <v>3</v>
      </c>
    </row>
    <row r="6" spans="1:2" ht="15" customHeight="1" x14ac:dyDescent="0.35">
      <c r="A6" s="8" t="s">
        <v>70</v>
      </c>
      <c r="B6" s="28">
        <f>B4-B5</f>
        <v>2</v>
      </c>
    </row>
    <row r="7" spans="1:2" ht="15" customHeight="1" x14ac:dyDescent="0.35">
      <c r="A7" s="8" t="s">
        <v>7</v>
      </c>
      <c r="B7" s="27" t="str">
        <f>Model!B7</f>
        <v>SSE</v>
      </c>
    </row>
    <row r="8" spans="1:2" ht="15" customHeight="1" x14ac:dyDescent="0.35">
      <c r="A8" s="8" t="s">
        <v>3</v>
      </c>
      <c r="B8" s="27">
        <f>Model!B5</f>
        <v>0.1</v>
      </c>
    </row>
    <row r="9" spans="1:2" ht="15" customHeight="1" x14ac:dyDescent="0.35">
      <c r="A9" s="8" t="s">
        <v>5</v>
      </c>
      <c r="B9" s="27">
        <f>Model!B6</f>
        <v>0.5</v>
      </c>
    </row>
    <row r="11" spans="1:2" ht="15" customHeight="1" x14ac:dyDescent="0.35">
      <c r="A11" s="8" t="s">
        <v>71</v>
      </c>
      <c r="B11" s="27">
        <f>Model!C11</f>
        <v>197.52928846371464</v>
      </c>
    </row>
    <row r="12" spans="1:2" ht="15" customHeight="1" x14ac:dyDescent="0.35">
      <c r="A12" s="8" t="s">
        <v>18</v>
      </c>
      <c r="B12" s="27">
        <f>Model!C14</f>
        <v>1.2869186429010776E-2</v>
      </c>
    </row>
    <row r="13" spans="1:2" ht="15" customHeight="1" x14ac:dyDescent="0.35">
      <c r="A13" s="8" t="s">
        <v>72</v>
      </c>
      <c r="B13" s="27">
        <f>Model!C16</f>
        <v>197.54215765014365</v>
      </c>
    </row>
    <row r="15" spans="1:2" ht="15" customHeight="1" x14ac:dyDescent="0.35">
      <c r="A15" s="8" t="s">
        <v>8</v>
      </c>
      <c r="B15" s="37" t="e">
        <f>SUMPRODUCT(IF(Model!B59:B63&lt;&gt;"",(Model!B59:B63)^2,0))</f>
        <v>#VALUE!</v>
      </c>
    </row>
    <row r="16" spans="1:2" ht="15" customHeight="1" x14ac:dyDescent="0.35">
      <c r="A16" s="8" t="s">
        <v>73</v>
      </c>
      <c r="B16" s="28">
        <f>IFERROR(B15/B6,0)</f>
        <v>0</v>
      </c>
    </row>
    <row r="17" spans="1:7" ht="15" customHeight="1" x14ac:dyDescent="0.35">
      <c r="A17" s="8" t="s">
        <v>74</v>
      </c>
      <c r="B17" s="28">
        <f>IFERROR(SQRT(B16),0)</f>
        <v>0</v>
      </c>
    </row>
    <row r="18" spans="1:7" ht="15" customHeight="1" x14ac:dyDescent="0.35">
      <c r="A18" s="8" t="s">
        <v>75</v>
      </c>
      <c r="B18" s="37">
        <f>IFERROR(SUMPRODUCT(IF(Model!B59:B63&lt;&gt;"",ABS(Model!B59:B63),0))/B4,0)</f>
        <v>0</v>
      </c>
    </row>
    <row r="20" spans="1:7" ht="15" customHeight="1" x14ac:dyDescent="0.35">
      <c r="A20" s="8" t="s">
        <v>76</v>
      </c>
      <c r="B20" s="37">
        <f>AVERAGE(Model!E59:E63)</f>
        <v>390</v>
      </c>
    </row>
    <row r="21" spans="1:7" ht="15" customHeight="1" x14ac:dyDescent="0.35">
      <c r="A21" s="8" t="s">
        <v>77</v>
      </c>
      <c r="B21" s="37" t="e">
        <f>SUMPRODUCT(IF(Model!E59:E63&lt;&gt;"",(Model!E59:E63-B20)^2,0))</f>
        <v>#VALUE!</v>
      </c>
    </row>
    <row r="22" spans="1:7" ht="15" customHeight="1" x14ac:dyDescent="0.35">
      <c r="A22" s="8" t="s">
        <v>78</v>
      </c>
      <c r="B22" s="28">
        <f>IFERROR(1-B15/B21,0)</f>
        <v>0</v>
      </c>
    </row>
    <row r="23" spans="1:7" ht="15" customHeight="1" x14ac:dyDescent="0.35">
      <c r="A23" s="8" t="s">
        <v>79</v>
      </c>
      <c r="B23" s="28">
        <f>IFERROR(1-(1-B22)*(B4-1)/B6,B22)</f>
        <v>-1</v>
      </c>
    </row>
    <row r="25" spans="1:7" ht="15" customHeight="1" x14ac:dyDescent="0.35">
      <c r="A25" s="8" t="s">
        <v>80</v>
      </c>
      <c r="B25" s="37">
        <f>IFERROR(SUMPRODUCT(IF(Model!B59:B63&lt;&gt;"",ABS(Model!B59:B63/IF(Model!E59:E63=0,1,Model!E59:E63)),0))/B4*100,0)</f>
        <v>0</v>
      </c>
    </row>
    <row r="26" spans="1:7" ht="15" customHeight="1" x14ac:dyDescent="0.35">
      <c r="A26" s="8" t="s">
        <v>81</v>
      </c>
      <c r="B26" s="37" t="e">
        <f>SUMPRODUCT(IF(Model!B59:B63&lt;&gt;"",(Model!B59:B63/IF(Model!E59:E63=0,1,Model!E59:E63))^2,0))</f>
        <v>#VALUE!</v>
      </c>
    </row>
    <row r="28" spans="1:7" ht="15" customHeight="1" x14ac:dyDescent="0.35">
      <c r="A28" s="7" t="s">
        <v>82</v>
      </c>
    </row>
    <row r="29" spans="1:7" ht="15" customHeight="1" x14ac:dyDescent="0.35">
      <c r="A29" s="18" t="s">
        <v>83</v>
      </c>
      <c r="B29" s="18" t="s">
        <v>44</v>
      </c>
      <c r="C29" s="18" t="s">
        <v>45</v>
      </c>
      <c r="D29" s="18" t="s">
        <v>46</v>
      </c>
      <c r="E29" s="18" t="s">
        <v>84</v>
      </c>
      <c r="F29" s="18" t="s">
        <v>85</v>
      </c>
      <c r="G29" s="18" t="s">
        <v>47</v>
      </c>
    </row>
    <row r="30" spans="1:7" ht="15" customHeight="1" x14ac:dyDescent="0.35">
      <c r="A30" s="29" t="str">
        <f>Model!C37</f>
        <v>Intercept</v>
      </c>
      <c r="B30" s="27">
        <f>Model!C38</f>
        <v>813.66920209268483</v>
      </c>
      <c r="C30" s="29">
        <f>Model!C39</f>
        <v>0</v>
      </c>
      <c r="D30" s="29">
        <f>Model!C40</f>
        <v>10000000000</v>
      </c>
      <c r="E30" s="16" t="str">
        <f>IF(OR(Model!C37="",Model!C39=""),"",IF(ABS(Model!C38-Model!C39)&lt;0.000001,"BINDING",""))</f>
        <v/>
      </c>
      <c r="F30" s="16" t="str">
        <f>IF(OR(Model!C37="",Model!C40=""),"",IF(ABS(Model!C38-Model!C40)&lt;0.000001,"BINDING",""))</f>
        <v/>
      </c>
      <c r="G30" s="29" t="str">
        <f>Model!C41</f>
        <v>NO</v>
      </c>
    </row>
    <row r="31" spans="1:7" ht="15" customHeight="1" x14ac:dyDescent="0.35">
      <c r="A31" s="29" t="str">
        <f>Model!D37</f>
        <v>β₁ (LC)</v>
      </c>
      <c r="B31" s="27">
        <f>Model!D38</f>
        <v>-0.10997977319166412</v>
      </c>
      <c r="C31" s="29">
        <f>Model!D39</f>
        <v>-1</v>
      </c>
      <c r="D31" s="29">
        <f>Model!D40</f>
        <v>0</v>
      </c>
      <c r="E31" s="16" t="str">
        <f>IF(OR(Model!D37="",Model!D39=""),"",IF(ABS(Model!D38-Model!D39)&lt;0.000001,"BINDING",""))</f>
        <v/>
      </c>
      <c r="F31" s="16" t="str">
        <f>IF(OR(Model!D37="",Model!D40=""),"",IF(ABS(Model!D38-Model!D40)&lt;0.000001,"BINDING",""))</f>
        <v/>
      </c>
      <c r="G31" s="29" t="str">
        <f>Model!D41</f>
        <v>YES</v>
      </c>
    </row>
    <row r="32" spans="1:7" ht="15" customHeight="1" x14ac:dyDescent="0.35">
      <c r="A32" s="29" t="str">
        <f>Model!E37</f>
        <v>β₂ (RC)</v>
      </c>
      <c r="B32" s="27">
        <f>Model!E38</f>
        <v>-0.13256892075750201</v>
      </c>
      <c r="C32" s="29">
        <f>Model!E39</f>
        <v>-1</v>
      </c>
      <c r="D32" s="29">
        <f>Model!E40</f>
        <v>0</v>
      </c>
      <c r="E32" s="16" t="str">
        <f>IF(OR(Model!E37="",Model!E39=""),"",IF(ABS(Model!E38-Model!E39)&lt;0.000001,"BINDING",""))</f>
        <v/>
      </c>
      <c r="F32" s="16" t="str">
        <f>IF(OR(Model!E37="",Model!E40=""),"",IF(ABS(Model!E38-Model!E40)&lt;0.000001,"BINDING",""))</f>
        <v/>
      </c>
      <c r="G32" s="29" t="str">
        <f>Model!E41</f>
        <v>YES</v>
      </c>
    </row>
    <row r="33" spans="1:7" ht="15" customHeight="1" x14ac:dyDescent="0.35">
      <c r="A33" s="29" t="str">
        <f>Model!F37</f>
        <v>β₃</v>
      </c>
      <c r="B33" s="27">
        <f>Model!F38</f>
        <v>0</v>
      </c>
      <c r="C33" s="29">
        <f>Model!F39</f>
        <v>0</v>
      </c>
      <c r="D33" s="29">
        <f>Model!F40</f>
        <v>0</v>
      </c>
      <c r="E33" s="16" t="str">
        <f>IF(OR(Model!F37="",Model!F39=""),"",IF(ABS(Model!F38-Model!F39)&lt;0.000001,"BINDING",""))</f>
        <v>BINDING</v>
      </c>
      <c r="F33" s="16" t="str">
        <f>IF(OR(Model!F37="",Model!F40=""),"",IF(ABS(Model!F38-Model!F40)&lt;0.000001,"BINDING",""))</f>
        <v>BINDING</v>
      </c>
      <c r="G33" s="29" t="str">
        <f>Model!F41</f>
        <v>YES</v>
      </c>
    </row>
    <row r="34" spans="1:7" ht="15" customHeight="1" x14ac:dyDescent="0.35">
      <c r="A34" s="29" t="str">
        <f>Model!G37</f>
        <v>β₄</v>
      </c>
      <c r="B34" s="27">
        <f>Model!G38</f>
        <v>0</v>
      </c>
      <c r="C34" s="29">
        <f>Model!G39</f>
        <v>0</v>
      </c>
      <c r="D34" s="29">
        <f>Model!G40</f>
        <v>0</v>
      </c>
      <c r="E34" s="16" t="str">
        <f>IF(OR(Model!G37="",Model!G39=""),"",IF(ABS(Model!G38-Model!G39)&lt;0.000001,"BINDING",""))</f>
        <v>BINDING</v>
      </c>
      <c r="F34" s="16" t="str">
        <f>IF(OR(Model!G37="",Model!G40=""),"",IF(ABS(Model!G38-Model!G40)&lt;0.000001,"BINDING",""))</f>
        <v>BINDING</v>
      </c>
      <c r="G34" s="29" t="str">
        <f>Model!G41</f>
        <v>YES</v>
      </c>
    </row>
    <row r="35" spans="1:7" ht="15" customHeight="1" x14ac:dyDescent="0.35">
      <c r="A35" s="29">
        <f>Model!H37</f>
        <v>0</v>
      </c>
      <c r="B35" s="27">
        <f>Model!H38</f>
        <v>0</v>
      </c>
      <c r="C35" s="29">
        <f>Model!H39</f>
        <v>0</v>
      </c>
      <c r="D35" s="29">
        <f>Model!H40</f>
        <v>0</v>
      </c>
      <c r="E35" s="16" t="str">
        <f>IF(OR(Model!H37="",Model!H39=""),"",IF(ABS(Model!H38-Model!H39)&lt;0.000001,"BINDING",""))</f>
        <v/>
      </c>
      <c r="F35" s="16" t="str">
        <f>IF(OR(Model!H37="",Model!H40=""),"",IF(ABS(Model!H38-Model!H40)&lt;0.000001,"BINDING",""))</f>
        <v/>
      </c>
      <c r="G35" s="29">
        <f>Model!H41</f>
        <v>0</v>
      </c>
    </row>
    <row r="36" spans="1:7" ht="15" customHeight="1" x14ac:dyDescent="0.35">
      <c r="A36" s="29">
        <f>Model!I37</f>
        <v>0</v>
      </c>
      <c r="B36" s="27">
        <f>Model!I38</f>
        <v>0</v>
      </c>
      <c r="C36" s="29">
        <f>Model!I39</f>
        <v>0</v>
      </c>
      <c r="D36" s="29">
        <f>Model!I40</f>
        <v>0</v>
      </c>
      <c r="E36" s="16" t="str">
        <f>IF(OR(Model!I37="",Model!I39=""),"",IF(ABS(Model!I38-Model!I39)&lt;0.000001,"BINDING",""))</f>
        <v/>
      </c>
      <c r="F36" s="16" t="str">
        <f>IF(OR(Model!I37="",Model!I40=""),"",IF(ABS(Model!I38-Model!I40)&lt;0.000001,"BINDING",""))</f>
        <v/>
      </c>
      <c r="G36" s="29">
        <f>Model!I41</f>
        <v>0</v>
      </c>
    </row>
    <row r="37" spans="1:7" ht="15" customHeight="1" x14ac:dyDescent="0.35">
      <c r="A37" s="29">
        <f>Model!J37</f>
        <v>0</v>
      </c>
      <c r="B37" s="27">
        <f>Model!J38</f>
        <v>0</v>
      </c>
      <c r="C37" s="29">
        <f>Model!J39</f>
        <v>0</v>
      </c>
      <c r="D37" s="29">
        <f>Model!J40</f>
        <v>0</v>
      </c>
      <c r="E37" s="16" t="str">
        <f>IF(OR(Model!J37="",Model!J39=""),"",IF(ABS(Model!J38-Model!J39)&lt;0.000001,"BINDING",""))</f>
        <v/>
      </c>
      <c r="F37" s="16" t="str">
        <f>IF(OR(Model!J37="",Model!J40=""),"",IF(ABS(Model!J38-Model!J40)&lt;0.000001,"BINDING",""))</f>
        <v/>
      </c>
      <c r="G37" s="29">
        <f>Model!J41</f>
        <v>0</v>
      </c>
    </row>
    <row r="38" spans="1:7" ht="15" customHeight="1" x14ac:dyDescent="0.35">
      <c r="A38" s="29">
        <f>Model!K37</f>
        <v>0</v>
      </c>
      <c r="B38" s="27">
        <f>Model!K38</f>
        <v>0</v>
      </c>
      <c r="C38" s="29">
        <f>Model!K39</f>
        <v>0</v>
      </c>
      <c r="D38" s="29">
        <f>Model!K40</f>
        <v>0</v>
      </c>
      <c r="E38" s="16" t="str">
        <f>IF(OR(Model!K37="",Model!K39=""),"",IF(ABS(Model!K38-Model!K39)&lt;0.000001,"BINDING",""))</f>
        <v/>
      </c>
      <c r="F38" s="16" t="str">
        <f>IF(OR(Model!K37="",Model!K40=""),"",IF(ABS(Model!K38-Model!K40)&lt;0.000001,"BINDING",""))</f>
        <v/>
      </c>
      <c r="G38" s="29">
        <f>Model!K41</f>
        <v>0</v>
      </c>
    </row>
    <row r="39" spans="1:7" ht="15" customHeight="1" x14ac:dyDescent="0.35">
      <c r="A39" s="29">
        <f>Model!L37</f>
        <v>0</v>
      </c>
      <c r="B39" s="27">
        <f>Model!L38</f>
        <v>0</v>
      </c>
      <c r="C39" s="29">
        <f>Model!L39</f>
        <v>0</v>
      </c>
      <c r="D39" s="29">
        <f>Model!L40</f>
        <v>0</v>
      </c>
      <c r="E39" s="16" t="str">
        <f>IF(OR(Model!L37="",Model!L39=""),"",IF(ABS(Model!L38-Model!L39)&lt;0.000001,"BINDING",""))</f>
        <v/>
      </c>
      <c r="F39" s="16" t="str">
        <f>IF(OR(Model!L37="",Model!L40=""),"",IF(ABS(Model!L38-Model!L40)&lt;0.000001,"BINDING",""))</f>
        <v/>
      </c>
      <c r="G39" s="29">
        <f>Model!L41</f>
        <v>0</v>
      </c>
    </row>
    <row r="41" spans="1:7" ht="15" customHeight="1" x14ac:dyDescent="0.35">
      <c r="A41" s="7" t="s">
        <v>86</v>
      </c>
    </row>
    <row r="42" spans="1:7" ht="15" customHeight="1" x14ac:dyDescent="0.35">
      <c r="A42" s="8" t="s">
        <v>87</v>
      </c>
      <c r="B42" s="30">
        <f>COUNTIF(E30:E39,"BINDING")+COUNTIF(F30:F39,"BINDING")</f>
        <v>4</v>
      </c>
    </row>
    <row r="43" spans="1:7" ht="15" customHeight="1" x14ac:dyDescent="0.35">
      <c r="A43" s="8" t="s">
        <v>88</v>
      </c>
      <c r="B43" s="30">
        <f>COUNTA(Model!C39:L39)+COUNTA(Model!C40:L40)</f>
        <v>20</v>
      </c>
    </row>
    <row r="45" spans="1:7" ht="15" customHeight="1" x14ac:dyDescent="0.35">
      <c r="A45" s="8" t="s">
        <v>89</v>
      </c>
      <c r="B45" s="30">
        <f>B4-B5+B42</f>
        <v>6</v>
      </c>
    </row>
    <row r="46" spans="1:7" ht="15" customHeight="1" x14ac:dyDescent="0.35">
      <c r="A46" s="8" t="s">
        <v>90</v>
      </c>
      <c r="B46" s="30">
        <f>B4-B5+B43</f>
        <v>22</v>
      </c>
    </row>
  </sheetData>
  <conditionalFormatting sqref="E30:F39">
    <cfRule type="cellIs" dxfId="0" priority="2" operator="equal">
      <formula>"BINDING"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92"/>
  <sheetViews>
    <sheetView zoomScaleNormal="100" workbookViewId="0"/>
  </sheetViews>
  <sheetFormatPr defaultColWidth="8.6328125" defaultRowHeight="14.5" x14ac:dyDescent="0.35"/>
  <cols>
    <col min="1" max="1" width="100" customWidth="1"/>
  </cols>
  <sheetData>
    <row r="1" spans="1:8" ht="17.25" customHeight="1" x14ac:dyDescent="0.35">
      <c r="A1" s="5" t="s">
        <v>91</v>
      </c>
      <c r="B1" s="5"/>
      <c r="C1" s="5"/>
      <c r="D1" s="5"/>
      <c r="E1" s="5"/>
      <c r="F1" s="5"/>
      <c r="G1" s="5"/>
      <c r="H1" s="5"/>
    </row>
    <row r="3" spans="1:8" ht="15" customHeight="1" x14ac:dyDescent="0.35">
      <c r="A3" s="2" t="s">
        <v>92</v>
      </c>
      <c r="B3" s="2"/>
      <c r="C3" s="2"/>
      <c r="D3" s="2"/>
      <c r="E3" s="2"/>
      <c r="F3" s="2"/>
      <c r="G3" s="2"/>
      <c r="H3" s="2"/>
    </row>
    <row r="4" spans="1:8" ht="15" customHeight="1" x14ac:dyDescent="0.35">
      <c r="A4" s="1" t="s">
        <v>93</v>
      </c>
      <c r="B4" s="1"/>
      <c r="C4" s="1"/>
      <c r="D4" s="1"/>
      <c r="E4" s="1"/>
      <c r="F4" s="1"/>
      <c r="G4" s="1"/>
      <c r="H4" s="1"/>
    </row>
    <row r="5" spans="1:8" ht="15" customHeight="1" x14ac:dyDescent="0.35">
      <c r="A5" s="1" t="s">
        <v>94</v>
      </c>
      <c r="B5" s="1"/>
      <c r="C5" s="1"/>
      <c r="D5" s="1"/>
      <c r="E5" s="1"/>
      <c r="F5" s="1"/>
      <c r="G5" s="1"/>
      <c r="H5" s="1"/>
    </row>
    <row r="6" spans="1:8" ht="15" customHeight="1" x14ac:dyDescent="0.35">
      <c r="A6" s="1" t="s">
        <v>95</v>
      </c>
      <c r="B6" s="1"/>
      <c r="C6" s="1"/>
      <c r="D6" s="1"/>
      <c r="E6" s="1"/>
      <c r="F6" s="1"/>
      <c r="G6" s="1"/>
      <c r="H6" s="1"/>
    </row>
    <row r="7" spans="1:8" ht="15" customHeight="1" x14ac:dyDescent="0.35">
      <c r="A7" s="1" t="s">
        <v>96</v>
      </c>
      <c r="B7" s="1"/>
      <c r="C7" s="1"/>
      <c r="D7" s="1"/>
      <c r="E7" s="1"/>
      <c r="F7" s="1"/>
      <c r="G7" s="1"/>
      <c r="H7" s="1"/>
    </row>
    <row r="8" spans="1:8" ht="15" customHeight="1" x14ac:dyDescent="0.35">
      <c r="A8" s="1"/>
      <c r="B8" s="1"/>
      <c r="C8" s="1"/>
      <c r="D8" s="1"/>
      <c r="E8" s="1"/>
      <c r="F8" s="1"/>
      <c r="G8" s="1"/>
      <c r="H8" s="1"/>
    </row>
    <row r="9" spans="1:8" ht="15" customHeight="1" x14ac:dyDescent="0.35">
      <c r="A9" s="1" t="s">
        <v>97</v>
      </c>
      <c r="B9" s="1"/>
      <c r="C9" s="1"/>
      <c r="D9" s="1"/>
      <c r="E9" s="1"/>
      <c r="F9" s="1"/>
      <c r="G9" s="1"/>
      <c r="H9" s="1"/>
    </row>
    <row r="10" spans="1:8" ht="15" customHeight="1" x14ac:dyDescent="0.35">
      <c r="A10" s="1" t="s">
        <v>98</v>
      </c>
      <c r="B10" s="1"/>
      <c r="C10" s="1"/>
      <c r="D10" s="1"/>
      <c r="E10" s="1"/>
      <c r="F10" s="1"/>
      <c r="G10" s="1"/>
      <c r="H10" s="1"/>
    </row>
    <row r="12" spans="1:8" ht="15" customHeight="1" x14ac:dyDescent="0.35">
      <c r="A12" s="2" t="s">
        <v>99</v>
      </c>
      <c r="B12" s="2"/>
      <c r="C12" s="2"/>
      <c r="D12" s="2"/>
      <c r="E12" s="2"/>
      <c r="F12" s="2"/>
      <c r="G12" s="2"/>
      <c r="H12" s="2"/>
    </row>
    <row r="13" spans="1:8" ht="15" customHeight="1" x14ac:dyDescent="0.35">
      <c r="A13" s="1" t="s">
        <v>100</v>
      </c>
      <c r="B13" s="1"/>
      <c r="C13" s="1"/>
      <c r="D13" s="1"/>
      <c r="E13" s="1"/>
      <c r="F13" s="1"/>
      <c r="G13" s="1"/>
      <c r="H13" s="1"/>
    </row>
    <row r="14" spans="1:8" ht="15" customHeight="1" x14ac:dyDescent="0.35">
      <c r="A14" s="1" t="s">
        <v>101</v>
      </c>
      <c r="B14" s="1"/>
      <c r="C14" s="1"/>
      <c r="D14" s="1"/>
      <c r="E14" s="1"/>
      <c r="F14" s="1"/>
      <c r="G14" s="1"/>
      <c r="H14" s="1"/>
    </row>
    <row r="15" spans="1:8" ht="15" customHeight="1" x14ac:dyDescent="0.35">
      <c r="A15" s="1" t="s">
        <v>102</v>
      </c>
      <c r="B15" s="1"/>
      <c r="C15" s="1"/>
      <c r="D15" s="1"/>
      <c r="E15" s="1"/>
      <c r="F15" s="1"/>
      <c r="G15" s="1"/>
      <c r="H15" s="1"/>
    </row>
    <row r="16" spans="1:8" ht="15" customHeight="1" x14ac:dyDescent="0.35">
      <c r="A16" s="1" t="s">
        <v>103</v>
      </c>
      <c r="B16" s="1"/>
      <c r="C16" s="1"/>
      <c r="D16" s="1"/>
      <c r="E16" s="1"/>
      <c r="F16" s="1"/>
      <c r="G16" s="1"/>
      <c r="H16" s="1"/>
    </row>
    <row r="18" spans="1:8" ht="15" customHeight="1" x14ac:dyDescent="0.35">
      <c r="A18" s="2" t="s">
        <v>104</v>
      </c>
      <c r="B18" s="2"/>
      <c r="C18" s="2"/>
      <c r="D18" s="2"/>
      <c r="E18" s="2"/>
      <c r="F18" s="2"/>
      <c r="G18" s="2"/>
      <c r="H18" s="2"/>
    </row>
    <row r="19" spans="1:8" ht="15" customHeight="1" x14ac:dyDescent="0.35">
      <c r="A19" s="1" t="s">
        <v>105</v>
      </c>
      <c r="B19" s="1"/>
      <c r="C19" s="1"/>
      <c r="D19" s="1"/>
      <c r="E19" s="1"/>
      <c r="F19" s="1"/>
      <c r="G19" s="1"/>
      <c r="H19" s="1"/>
    </row>
    <row r="20" spans="1:8" ht="15" customHeight="1" x14ac:dyDescent="0.35">
      <c r="A20" s="1" t="s">
        <v>106</v>
      </c>
      <c r="B20" s="1"/>
      <c r="C20" s="1"/>
      <c r="D20" s="1"/>
      <c r="E20" s="1"/>
      <c r="F20" s="1"/>
      <c r="G20" s="1"/>
      <c r="H20" s="1"/>
    </row>
    <row r="21" spans="1:8" ht="15" customHeight="1" x14ac:dyDescent="0.35">
      <c r="A21" s="1" t="s">
        <v>107</v>
      </c>
      <c r="B21" s="1"/>
      <c r="C21" s="1"/>
      <c r="D21" s="1"/>
      <c r="E21" s="1"/>
      <c r="F21" s="1"/>
      <c r="G21" s="1"/>
      <c r="H21" s="1"/>
    </row>
    <row r="22" spans="1:8" ht="15" customHeight="1" x14ac:dyDescent="0.35">
      <c r="A22" s="1" t="s">
        <v>108</v>
      </c>
      <c r="B22" s="1"/>
      <c r="C22" s="1"/>
      <c r="D22" s="1"/>
      <c r="E22" s="1"/>
      <c r="F22" s="1"/>
      <c r="G22" s="1"/>
      <c r="H22" s="1"/>
    </row>
    <row r="24" spans="1:8" ht="15" customHeight="1" x14ac:dyDescent="0.35">
      <c r="A24" s="2" t="s">
        <v>109</v>
      </c>
      <c r="B24" s="2"/>
      <c r="C24" s="2"/>
      <c r="D24" s="2"/>
      <c r="E24" s="2"/>
      <c r="F24" s="2"/>
      <c r="G24" s="2"/>
      <c r="H24" s="2"/>
    </row>
    <row r="25" spans="1:8" ht="15" customHeight="1" x14ac:dyDescent="0.35">
      <c r="A25" s="1" t="s">
        <v>110</v>
      </c>
      <c r="B25" s="1"/>
      <c r="C25" s="1"/>
      <c r="D25" s="1"/>
      <c r="E25" s="1"/>
      <c r="F25" s="1"/>
      <c r="G25" s="1"/>
      <c r="H25" s="1"/>
    </row>
    <row r="26" spans="1:8" ht="15" customHeight="1" x14ac:dyDescent="0.35">
      <c r="A26" s="1" t="s">
        <v>111</v>
      </c>
      <c r="B26" s="1"/>
      <c r="C26" s="1"/>
      <c r="D26" s="1"/>
      <c r="E26" s="1"/>
      <c r="F26" s="1"/>
      <c r="G26" s="1"/>
      <c r="H26" s="1"/>
    </row>
    <row r="27" spans="1:8" ht="15" customHeight="1" x14ac:dyDescent="0.35">
      <c r="A27" s="1" t="s">
        <v>112</v>
      </c>
      <c r="B27" s="1"/>
      <c r="C27" s="1"/>
      <c r="D27" s="1"/>
      <c r="E27" s="1"/>
      <c r="F27" s="1"/>
      <c r="G27" s="1"/>
      <c r="H27" s="1"/>
    </row>
    <row r="28" spans="1:8" ht="15" customHeight="1" x14ac:dyDescent="0.35">
      <c r="A28" s="1" t="s">
        <v>113</v>
      </c>
      <c r="B28" s="1"/>
      <c r="C28" s="1"/>
      <c r="D28" s="1"/>
      <c r="E28" s="1"/>
      <c r="F28" s="1"/>
      <c r="G28" s="1"/>
      <c r="H28" s="1"/>
    </row>
    <row r="29" spans="1:8" ht="15" customHeight="1" x14ac:dyDescent="0.35">
      <c r="A29" s="1" t="s">
        <v>114</v>
      </c>
      <c r="B29" s="1"/>
      <c r="C29" s="1"/>
      <c r="D29" s="1"/>
      <c r="E29" s="1"/>
      <c r="F29" s="1"/>
      <c r="G29" s="1"/>
      <c r="H29" s="1"/>
    </row>
    <row r="30" spans="1:8" ht="15" customHeight="1" x14ac:dyDescent="0.35">
      <c r="A30" s="1" t="s">
        <v>115</v>
      </c>
      <c r="B30" s="1"/>
      <c r="C30" s="1"/>
      <c r="D30" s="1"/>
      <c r="E30" s="1"/>
      <c r="F30" s="1"/>
      <c r="G30" s="1"/>
      <c r="H30" s="1"/>
    </row>
    <row r="31" spans="1:8" ht="15" customHeight="1" x14ac:dyDescent="0.35">
      <c r="A31" s="1" t="s">
        <v>116</v>
      </c>
      <c r="B31" s="1"/>
      <c r="C31" s="1"/>
      <c r="D31" s="1"/>
      <c r="E31" s="1"/>
      <c r="F31" s="1"/>
      <c r="G31" s="1"/>
      <c r="H31" s="1"/>
    </row>
    <row r="33" spans="1:8" ht="15" customHeight="1" x14ac:dyDescent="0.35">
      <c r="A33" s="2" t="s">
        <v>117</v>
      </c>
      <c r="B33" s="2"/>
      <c r="C33" s="2"/>
      <c r="D33" s="2"/>
      <c r="E33" s="2"/>
      <c r="F33" s="2"/>
      <c r="G33" s="2"/>
      <c r="H33" s="2"/>
    </row>
    <row r="34" spans="1:8" ht="15" customHeight="1" x14ac:dyDescent="0.35">
      <c r="A34" s="1" t="s">
        <v>118</v>
      </c>
      <c r="B34" s="1"/>
      <c r="C34" s="1"/>
      <c r="D34" s="1"/>
      <c r="E34" s="1"/>
      <c r="F34" s="1"/>
      <c r="G34" s="1"/>
      <c r="H34" s="1"/>
    </row>
    <row r="35" spans="1:8" ht="15" customHeight="1" x14ac:dyDescent="0.35">
      <c r="A35" s="1" t="s">
        <v>119</v>
      </c>
      <c r="B35" s="1"/>
      <c r="C35" s="1"/>
      <c r="D35" s="1"/>
      <c r="E35" s="1"/>
      <c r="F35" s="1"/>
      <c r="G35" s="1"/>
      <c r="H35" s="1"/>
    </row>
    <row r="36" spans="1:8" ht="15" customHeight="1" x14ac:dyDescent="0.35">
      <c r="A36" s="1" t="s">
        <v>120</v>
      </c>
      <c r="B36" s="1"/>
      <c r="C36" s="1"/>
      <c r="D36" s="1"/>
      <c r="E36" s="1"/>
      <c r="F36" s="1"/>
      <c r="G36" s="1"/>
      <c r="H36" s="1"/>
    </row>
    <row r="37" spans="1:8" ht="15" customHeight="1" x14ac:dyDescent="0.35">
      <c r="A37" s="1" t="s">
        <v>121</v>
      </c>
      <c r="B37" s="1"/>
      <c r="C37" s="1"/>
      <c r="D37" s="1"/>
      <c r="E37" s="1"/>
      <c r="F37" s="1"/>
      <c r="G37" s="1"/>
      <c r="H37" s="1"/>
    </row>
    <row r="38" spans="1:8" ht="15" customHeight="1" x14ac:dyDescent="0.35">
      <c r="A38" s="1" t="s">
        <v>122</v>
      </c>
      <c r="B38" s="1"/>
      <c r="C38" s="1"/>
      <c r="D38" s="1"/>
      <c r="E38" s="1"/>
      <c r="F38" s="1"/>
      <c r="G38" s="1"/>
      <c r="H38" s="1"/>
    </row>
    <row r="39" spans="1:8" ht="15" customHeight="1" x14ac:dyDescent="0.35">
      <c r="A39" s="1" t="s">
        <v>123</v>
      </c>
      <c r="B39" s="1"/>
      <c r="C39" s="1"/>
      <c r="D39" s="1"/>
      <c r="E39" s="1"/>
      <c r="F39" s="1"/>
      <c r="G39" s="1"/>
      <c r="H39" s="1"/>
    </row>
    <row r="40" spans="1:8" ht="15" customHeight="1" x14ac:dyDescent="0.35">
      <c r="A40" s="1" t="s">
        <v>124</v>
      </c>
      <c r="B40" s="1"/>
      <c r="C40" s="1"/>
      <c r="D40" s="1"/>
      <c r="E40" s="1"/>
      <c r="F40" s="1"/>
      <c r="G40" s="1"/>
      <c r="H40" s="1"/>
    </row>
    <row r="42" spans="1:8" ht="15" customHeight="1" x14ac:dyDescent="0.35">
      <c r="A42" s="2" t="s">
        <v>125</v>
      </c>
      <c r="B42" s="2"/>
      <c r="C42" s="2"/>
      <c r="D42" s="2"/>
      <c r="E42" s="2"/>
      <c r="F42" s="2"/>
      <c r="G42" s="2"/>
      <c r="H42" s="2"/>
    </row>
    <row r="43" spans="1:8" ht="15" customHeight="1" x14ac:dyDescent="0.35">
      <c r="A43" s="1" t="s">
        <v>126</v>
      </c>
      <c r="B43" s="1"/>
      <c r="C43" s="1"/>
      <c r="D43" s="1"/>
      <c r="E43" s="1"/>
      <c r="F43" s="1"/>
      <c r="G43" s="1"/>
      <c r="H43" s="1"/>
    </row>
    <row r="44" spans="1:8" ht="15" customHeight="1" x14ac:dyDescent="0.35">
      <c r="A44" s="1" t="s">
        <v>127</v>
      </c>
      <c r="B44" s="1"/>
      <c r="C44" s="1"/>
      <c r="D44" s="1"/>
      <c r="E44" s="1"/>
      <c r="F44" s="1"/>
      <c r="G44" s="1"/>
      <c r="H44" s="1"/>
    </row>
    <row r="45" spans="1:8" ht="15" customHeight="1" x14ac:dyDescent="0.35">
      <c r="A45" s="1" t="s">
        <v>128</v>
      </c>
      <c r="B45" s="1"/>
      <c r="C45" s="1"/>
      <c r="D45" s="1"/>
      <c r="E45" s="1"/>
      <c r="F45" s="1"/>
      <c r="G45" s="1"/>
      <c r="H45" s="1"/>
    </row>
    <row r="46" spans="1:8" ht="15" customHeight="1" x14ac:dyDescent="0.35">
      <c r="A46" s="1" t="s">
        <v>129</v>
      </c>
      <c r="B46" s="1"/>
      <c r="C46" s="1"/>
      <c r="D46" s="1"/>
      <c r="E46" s="1"/>
      <c r="F46" s="1"/>
      <c r="G46" s="1"/>
      <c r="H46" s="1"/>
    </row>
    <row r="47" spans="1:8" ht="15" customHeight="1" x14ac:dyDescent="0.35">
      <c r="A47" s="1" t="s">
        <v>130</v>
      </c>
      <c r="B47" s="1"/>
      <c r="C47" s="1"/>
      <c r="D47" s="1"/>
      <c r="E47" s="1"/>
      <c r="F47" s="1"/>
      <c r="G47" s="1"/>
      <c r="H47" s="1"/>
    </row>
    <row r="48" spans="1:8" ht="15" customHeight="1" x14ac:dyDescent="0.35">
      <c r="A48" s="1" t="s">
        <v>131</v>
      </c>
      <c r="B48" s="1"/>
      <c r="C48" s="1"/>
      <c r="D48" s="1"/>
      <c r="E48" s="1"/>
      <c r="F48" s="1"/>
      <c r="G48" s="1"/>
      <c r="H48" s="1"/>
    </row>
    <row r="49" spans="1:8" ht="15" customHeight="1" x14ac:dyDescent="0.35">
      <c r="A49" s="1" t="s">
        <v>132</v>
      </c>
      <c r="B49" s="1"/>
      <c r="C49" s="1"/>
      <c r="D49" s="1"/>
      <c r="E49" s="1"/>
      <c r="F49" s="1"/>
      <c r="G49" s="1"/>
      <c r="H49" s="1"/>
    </row>
    <row r="50" spans="1:8" ht="15" customHeight="1" x14ac:dyDescent="0.35">
      <c r="A50" s="1" t="s">
        <v>133</v>
      </c>
      <c r="B50" s="1"/>
      <c r="C50" s="1"/>
      <c r="D50" s="1"/>
      <c r="E50" s="1"/>
      <c r="F50" s="1"/>
      <c r="G50" s="1"/>
      <c r="H50" s="1"/>
    </row>
    <row r="51" spans="1:8" ht="15" customHeight="1" x14ac:dyDescent="0.35">
      <c r="A51" s="1" t="s">
        <v>134</v>
      </c>
      <c r="B51" s="1"/>
      <c r="C51" s="1"/>
      <c r="D51" s="1"/>
      <c r="E51" s="1"/>
      <c r="F51" s="1"/>
      <c r="G51" s="1"/>
      <c r="H51" s="1"/>
    </row>
    <row r="53" spans="1:8" ht="15" customHeight="1" x14ac:dyDescent="0.35">
      <c r="A53" s="2" t="s">
        <v>135</v>
      </c>
      <c r="B53" s="2"/>
      <c r="C53" s="2"/>
      <c r="D53" s="2"/>
      <c r="E53" s="2"/>
      <c r="F53" s="2"/>
      <c r="G53" s="2"/>
      <c r="H53" s="2"/>
    </row>
    <row r="54" spans="1:8" ht="15" customHeight="1" x14ac:dyDescent="0.35">
      <c r="A54" s="1" t="s">
        <v>136</v>
      </c>
      <c r="B54" s="1"/>
      <c r="C54" s="1"/>
      <c r="D54" s="1"/>
      <c r="E54" s="1"/>
      <c r="F54" s="1"/>
      <c r="G54" s="1"/>
      <c r="H54" s="1"/>
    </row>
    <row r="55" spans="1:8" ht="15" customHeight="1" x14ac:dyDescent="0.35">
      <c r="A55" s="1" t="s">
        <v>137</v>
      </c>
      <c r="B55" s="1"/>
      <c r="C55" s="1"/>
      <c r="D55" s="1"/>
      <c r="E55" s="1"/>
      <c r="F55" s="1"/>
      <c r="G55" s="1"/>
      <c r="H55" s="1"/>
    </row>
    <row r="56" spans="1:8" ht="15" customHeight="1" x14ac:dyDescent="0.35">
      <c r="A56" s="1" t="s">
        <v>138</v>
      </c>
      <c r="B56" s="1"/>
      <c r="C56" s="1"/>
      <c r="D56" s="1"/>
      <c r="E56" s="1"/>
      <c r="F56" s="1"/>
      <c r="G56" s="1"/>
      <c r="H56" s="1"/>
    </row>
    <row r="57" spans="1:8" ht="15" customHeight="1" x14ac:dyDescent="0.35">
      <c r="A57" s="1" t="s">
        <v>139</v>
      </c>
      <c r="B57" s="1"/>
      <c r="C57" s="1"/>
      <c r="D57" s="1"/>
      <c r="E57" s="1"/>
      <c r="F57" s="1"/>
      <c r="G57" s="1"/>
      <c r="H57" s="1"/>
    </row>
    <row r="58" spans="1:8" ht="15" customHeight="1" x14ac:dyDescent="0.35">
      <c r="A58" s="1" t="s">
        <v>140</v>
      </c>
      <c r="B58" s="1"/>
      <c r="C58" s="1"/>
      <c r="D58" s="1"/>
      <c r="E58" s="1"/>
      <c r="F58" s="1"/>
      <c r="G58" s="1"/>
      <c r="H58" s="1"/>
    </row>
    <row r="59" spans="1:8" ht="15" customHeight="1" x14ac:dyDescent="0.35">
      <c r="A59" s="1" t="s">
        <v>141</v>
      </c>
      <c r="B59" s="1"/>
      <c r="C59" s="1"/>
      <c r="D59" s="1"/>
      <c r="E59" s="1"/>
      <c r="F59" s="1"/>
      <c r="G59" s="1"/>
      <c r="H59" s="1"/>
    </row>
    <row r="60" spans="1:8" ht="15" customHeight="1" x14ac:dyDescent="0.35">
      <c r="A60" s="1" t="s">
        <v>142</v>
      </c>
      <c r="B60" s="1"/>
      <c r="C60" s="1"/>
      <c r="D60" s="1"/>
      <c r="E60" s="1"/>
      <c r="F60" s="1"/>
      <c r="G60" s="1"/>
      <c r="H60" s="1"/>
    </row>
    <row r="62" spans="1:8" ht="15" customHeight="1" x14ac:dyDescent="0.35">
      <c r="A62" s="2" t="s">
        <v>143</v>
      </c>
      <c r="B62" s="2"/>
      <c r="C62" s="2"/>
      <c r="D62" s="2"/>
      <c r="E62" s="2"/>
      <c r="F62" s="2"/>
      <c r="G62" s="2"/>
      <c r="H62" s="2"/>
    </row>
    <row r="63" spans="1:8" ht="15" customHeight="1" x14ac:dyDescent="0.35">
      <c r="A63" s="1" t="s">
        <v>144</v>
      </c>
      <c r="B63" s="1"/>
      <c r="C63" s="1"/>
      <c r="D63" s="1"/>
      <c r="E63" s="1"/>
      <c r="F63" s="1"/>
      <c r="G63" s="1"/>
      <c r="H63" s="1"/>
    </row>
    <row r="64" spans="1:8" ht="15" customHeight="1" x14ac:dyDescent="0.35">
      <c r="A64" s="1" t="s">
        <v>145</v>
      </c>
      <c r="B64" s="1"/>
      <c r="C64" s="1"/>
      <c r="D64" s="1"/>
      <c r="E64" s="1"/>
      <c r="F64" s="1"/>
      <c r="G64" s="1"/>
      <c r="H64" s="1"/>
    </row>
    <row r="65" spans="1:8" ht="15" customHeight="1" x14ac:dyDescent="0.35">
      <c r="A65" s="1" t="s">
        <v>146</v>
      </c>
      <c r="B65" s="1"/>
      <c r="C65" s="1"/>
      <c r="D65" s="1"/>
      <c r="E65" s="1"/>
      <c r="F65" s="1"/>
      <c r="G65" s="1"/>
      <c r="H65" s="1"/>
    </row>
    <row r="66" spans="1:8" ht="15" customHeight="1" x14ac:dyDescent="0.35">
      <c r="A66" s="1" t="s">
        <v>147</v>
      </c>
      <c r="B66" s="1"/>
      <c r="C66" s="1"/>
      <c r="D66" s="1"/>
      <c r="E66" s="1"/>
      <c r="F66" s="1"/>
      <c r="G66" s="1"/>
      <c r="H66" s="1"/>
    </row>
    <row r="67" spans="1:8" ht="15" customHeight="1" x14ac:dyDescent="0.35">
      <c r="A67" s="1" t="s">
        <v>148</v>
      </c>
      <c r="B67" s="1"/>
      <c r="C67" s="1"/>
      <c r="D67" s="1"/>
      <c r="E67" s="1"/>
      <c r="F67" s="1"/>
      <c r="G67" s="1"/>
      <c r="H67" s="1"/>
    </row>
    <row r="68" spans="1:8" ht="15" customHeight="1" x14ac:dyDescent="0.35">
      <c r="A68" s="1" t="s">
        <v>149</v>
      </c>
      <c r="B68" s="1"/>
      <c r="C68" s="1"/>
      <c r="D68" s="1"/>
      <c r="E68" s="1"/>
      <c r="F68" s="1"/>
      <c r="G68" s="1"/>
      <c r="H68" s="1"/>
    </row>
    <row r="70" spans="1:8" ht="15" customHeight="1" x14ac:dyDescent="0.35">
      <c r="A70" s="2" t="s">
        <v>150</v>
      </c>
      <c r="B70" s="2"/>
      <c r="C70" s="2"/>
      <c r="D70" s="2"/>
      <c r="E70" s="2"/>
      <c r="F70" s="2"/>
      <c r="G70" s="2"/>
      <c r="H70" s="2"/>
    </row>
    <row r="71" spans="1:8" ht="15" customHeight="1" x14ac:dyDescent="0.35">
      <c r="A71" s="1" t="s">
        <v>151</v>
      </c>
      <c r="B71" s="1"/>
      <c r="C71" s="1"/>
      <c r="D71" s="1"/>
      <c r="E71" s="1"/>
      <c r="F71" s="1"/>
      <c r="G71" s="1"/>
      <c r="H71" s="1"/>
    </row>
    <row r="72" spans="1:8" ht="15" customHeight="1" x14ac:dyDescent="0.35">
      <c r="A72" s="1" t="s">
        <v>152</v>
      </c>
      <c r="B72" s="1"/>
      <c r="C72" s="1"/>
      <c r="D72" s="1"/>
      <c r="E72" s="1"/>
      <c r="F72" s="1"/>
      <c r="G72" s="1"/>
      <c r="H72" s="1"/>
    </row>
    <row r="73" spans="1:8" ht="15" customHeight="1" x14ac:dyDescent="0.35">
      <c r="A73" s="1" t="s">
        <v>153</v>
      </c>
      <c r="B73" s="1"/>
      <c r="C73" s="1"/>
      <c r="D73" s="1"/>
      <c r="E73" s="1"/>
      <c r="F73" s="1"/>
      <c r="G73" s="1"/>
      <c r="H73" s="1"/>
    </row>
    <row r="74" spans="1:8" ht="15" customHeight="1" x14ac:dyDescent="0.35">
      <c r="A74" s="1" t="s">
        <v>154</v>
      </c>
      <c r="B74" s="1"/>
      <c r="C74" s="1"/>
      <c r="D74" s="1"/>
      <c r="E74" s="1"/>
      <c r="F74" s="1"/>
      <c r="G74" s="1"/>
      <c r="H74" s="1"/>
    </row>
    <row r="75" spans="1:8" ht="15" customHeight="1" x14ac:dyDescent="0.35">
      <c r="A75" s="1" t="s">
        <v>155</v>
      </c>
      <c r="B75" s="1"/>
      <c r="C75" s="1"/>
      <c r="D75" s="1"/>
      <c r="E75" s="1"/>
      <c r="F75" s="1"/>
      <c r="G75" s="1"/>
      <c r="H75" s="1"/>
    </row>
    <row r="77" spans="1:8" ht="15" customHeight="1" x14ac:dyDescent="0.35">
      <c r="A77" s="2" t="s">
        <v>156</v>
      </c>
      <c r="B77" s="2"/>
      <c r="C77" s="2"/>
      <c r="D77" s="2"/>
      <c r="E77" s="2"/>
      <c r="F77" s="2"/>
      <c r="G77" s="2"/>
      <c r="H77" s="2"/>
    </row>
    <row r="78" spans="1:8" ht="15" customHeight="1" x14ac:dyDescent="0.35">
      <c r="A78" s="1" t="s">
        <v>157</v>
      </c>
      <c r="B78" s="1"/>
      <c r="C78" s="1"/>
      <c r="D78" s="1"/>
      <c r="E78" s="1"/>
      <c r="F78" s="1"/>
      <c r="G78" s="1"/>
      <c r="H78" s="1"/>
    </row>
    <row r="79" spans="1:8" ht="15" customHeight="1" x14ac:dyDescent="0.35">
      <c r="A79" s="1" t="s">
        <v>158</v>
      </c>
      <c r="B79" s="1"/>
      <c r="C79" s="1"/>
      <c r="D79" s="1"/>
      <c r="E79" s="1"/>
      <c r="F79" s="1"/>
      <c r="G79" s="1"/>
      <c r="H79" s="1"/>
    </row>
    <row r="80" spans="1:8" ht="15" customHeight="1" x14ac:dyDescent="0.35">
      <c r="A80" s="1" t="s">
        <v>159</v>
      </c>
      <c r="B80" s="1"/>
      <c r="C80" s="1"/>
      <c r="D80" s="1"/>
      <c r="E80" s="1"/>
      <c r="F80" s="1"/>
      <c r="G80" s="1"/>
      <c r="H80" s="1"/>
    </row>
    <row r="81" spans="1:8" ht="15" customHeight="1" x14ac:dyDescent="0.35">
      <c r="A81" s="1" t="s">
        <v>160</v>
      </c>
      <c r="B81" s="1"/>
      <c r="C81" s="1"/>
      <c r="D81" s="1"/>
      <c r="E81" s="1"/>
      <c r="F81" s="1"/>
      <c r="G81" s="1"/>
      <c r="H81" s="1"/>
    </row>
    <row r="82" spans="1:8" ht="15" customHeight="1" x14ac:dyDescent="0.35">
      <c r="A82" s="1" t="s">
        <v>161</v>
      </c>
      <c r="B82" s="1"/>
      <c r="C82" s="1"/>
      <c r="D82" s="1"/>
      <c r="E82" s="1"/>
      <c r="F82" s="1"/>
      <c r="G82" s="1"/>
      <c r="H82" s="1"/>
    </row>
    <row r="83" spans="1:8" ht="15" customHeight="1" x14ac:dyDescent="0.35">
      <c r="A83" s="1" t="s">
        <v>162</v>
      </c>
      <c r="B83" s="1"/>
      <c r="C83" s="1"/>
      <c r="D83" s="1"/>
      <c r="E83" s="1"/>
      <c r="F83" s="1"/>
      <c r="G83" s="1"/>
      <c r="H83" s="1"/>
    </row>
    <row r="84" spans="1:8" ht="15" customHeight="1" x14ac:dyDescent="0.35">
      <c r="A84" s="1" t="s">
        <v>163</v>
      </c>
      <c r="B84" s="1"/>
      <c r="C84" s="1"/>
      <c r="D84" s="1"/>
      <c r="E84" s="1"/>
      <c r="F84" s="1"/>
      <c r="G84" s="1"/>
      <c r="H84" s="1"/>
    </row>
    <row r="86" spans="1:8" ht="15" customHeight="1" x14ac:dyDescent="0.35">
      <c r="A86" s="2" t="s">
        <v>164</v>
      </c>
      <c r="B86" s="2"/>
      <c r="C86" s="2"/>
      <c r="D86" s="2"/>
      <c r="E86" s="2"/>
      <c r="F86" s="2"/>
      <c r="G86" s="2"/>
      <c r="H86" s="2"/>
    </row>
    <row r="87" spans="1:8" ht="15" customHeight="1" x14ac:dyDescent="0.35">
      <c r="A87" s="1" t="s">
        <v>165</v>
      </c>
      <c r="B87" s="1"/>
      <c r="C87" s="1"/>
      <c r="D87" s="1"/>
      <c r="E87" s="1"/>
      <c r="F87" s="1"/>
      <c r="G87" s="1"/>
      <c r="H87" s="1"/>
    </row>
    <row r="88" spans="1:8" ht="15" customHeight="1" x14ac:dyDescent="0.35">
      <c r="A88" s="1" t="s">
        <v>166</v>
      </c>
      <c r="B88" s="1"/>
      <c r="C88" s="1"/>
      <c r="D88" s="1"/>
      <c r="E88" s="1"/>
      <c r="F88" s="1"/>
      <c r="G88" s="1"/>
      <c r="H88" s="1"/>
    </row>
    <row r="89" spans="1:8" ht="15" customHeight="1" x14ac:dyDescent="0.35">
      <c r="A89" s="1" t="s">
        <v>167</v>
      </c>
      <c r="B89" s="1"/>
      <c r="C89" s="1"/>
      <c r="D89" s="1"/>
      <c r="E89" s="1"/>
      <c r="F89" s="1"/>
      <c r="G89" s="1"/>
      <c r="H89" s="1"/>
    </row>
    <row r="90" spans="1:8" ht="15" customHeight="1" x14ac:dyDescent="0.35">
      <c r="A90" s="1" t="s">
        <v>168</v>
      </c>
      <c r="B90" s="1"/>
      <c r="C90" s="1"/>
      <c r="D90" s="1"/>
      <c r="E90" s="1"/>
      <c r="F90" s="1"/>
      <c r="G90" s="1"/>
      <c r="H90" s="1"/>
    </row>
    <row r="91" spans="1:8" ht="15" customHeight="1" x14ac:dyDescent="0.35">
      <c r="A91" s="1" t="s">
        <v>169</v>
      </c>
      <c r="B91" s="1"/>
      <c r="C91" s="1"/>
      <c r="D91" s="1"/>
      <c r="E91" s="1"/>
      <c r="F91" s="1"/>
      <c r="G91" s="1"/>
      <c r="H91" s="1"/>
    </row>
    <row r="92" spans="1:8" ht="15" customHeight="1" x14ac:dyDescent="0.35">
      <c r="A92" s="1" t="s">
        <v>170</v>
      </c>
      <c r="B92" s="1"/>
      <c r="C92" s="1"/>
      <c r="D92" s="1"/>
      <c r="E92" s="1"/>
      <c r="F92" s="1"/>
      <c r="G92" s="1"/>
      <c r="H92" s="1"/>
    </row>
  </sheetData>
  <mergeCells count="81">
    <mergeCell ref="A92:H92"/>
    <mergeCell ref="A87:H87"/>
    <mergeCell ref="A88:H88"/>
    <mergeCell ref="A89:H89"/>
    <mergeCell ref="A90:H90"/>
    <mergeCell ref="A91:H91"/>
    <mergeCell ref="A81:H81"/>
    <mergeCell ref="A82:H82"/>
    <mergeCell ref="A83:H83"/>
    <mergeCell ref="A84:H84"/>
    <mergeCell ref="A86:H86"/>
    <mergeCell ref="A75:H75"/>
    <mergeCell ref="A77:H77"/>
    <mergeCell ref="A78:H78"/>
    <mergeCell ref="A79:H79"/>
    <mergeCell ref="A80:H80"/>
    <mergeCell ref="A70:H70"/>
    <mergeCell ref="A71:H71"/>
    <mergeCell ref="A72:H72"/>
    <mergeCell ref="A73:H73"/>
    <mergeCell ref="A74:H74"/>
    <mergeCell ref="A64:H64"/>
    <mergeCell ref="A65:H65"/>
    <mergeCell ref="A66:H66"/>
    <mergeCell ref="A67:H67"/>
    <mergeCell ref="A68:H68"/>
    <mergeCell ref="A58:H58"/>
    <mergeCell ref="A59:H59"/>
    <mergeCell ref="A60:H60"/>
    <mergeCell ref="A62:H62"/>
    <mergeCell ref="A63:H63"/>
    <mergeCell ref="A53:H53"/>
    <mergeCell ref="A54:H54"/>
    <mergeCell ref="A55:H55"/>
    <mergeCell ref="A56:H56"/>
    <mergeCell ref="A57:H57"/>
    <mergeCell ref="A47:H47"/>
    <mergeCell ref="A48:H48"/>
    <mergeCell ref="A49:H49"/>
    <mergeCell ref="A50:H50"/>
    <mergeCell ref="A51:H51"/>
    <mergeCell ref="A42:H42"/>
    <mergeCell ref="A43:H43"/>
    <mergeCell ref="A44:H44"/>
    <mergeCell ref="A45:H45"/>
    <mergeCell ref="A46:H46"/>
    <mergeCell ref="A36:H36"/>
    <mergeCell ref="A37:H37"/>
    <mergeCell ref="A38:H38"/>
    <mergeCell ref="A39:H39"/>
    <mergeCell ref="A40:H40"/>
    <mergeCell ref="A30:H30"/>
    <mergeCell ref="A31:H31"/>
    <mergeCell ref="A33:H33"/>
    <mergeCell ref="A34:H34"/>
    <mergeCell ref="A35:H35"/>
    <mergeCell ref="A25:H25"/>
    <mergeCell ref="A26:H26"/>
    <mergeCell ref="A27:H27"/>
    <mergeCell ref="A28:H28"/>
    <mergeCell ref="A29:H29"/>
    <mergeCell ref="A19:H19"/>
    <mergeCell ref="A20:H20"/>
    <mergeCell ref="A21:H21"/>
    <mergeCell ref="A22:H22"/>
    <mergeCell ref="A24:H24"/>
    <mergeCell ref="A13:H13"/>
    <mergeCell ref="A14:H14"/>
    <mergeCell ref="A15:H15"/>
    <mergeCell ref="A16:H16"/>
    <mergeCell ref="A18:H18"/>
    <mergeCell ref="A7:H7"/>
    <mergeCell ref="A8:H8"/>
    <mergeCell ref="A9:H9"/>
    <mergeCell ref="A10:H10"/>
    <mergeCell ref="A12:H12"/>
    <mergeCell ref="A1:H1"/>
    <mergeCell ref="A3:H3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E41A598162740AE0AFB19F1F0A86A" ma:contentTypeVersion="10" ma:contentTypeDescription="Create a new document." ma:contentTypeScope="" ma:versionID="e0c0dc5a4243f4421a9da39db9751acb">
  <xsd:schema xmlns:xsd="http://www.w3.org/2001/XMLSchema" xmlns:xs="http://www.w3.org/2001/XMLSchema" xmlns:p="http://schemas.microsoft.com/office/2006/metadata/properties" xmlns:ns2="a6d28ca4-9d4d-4b7c-a05d-8c0957ab3d04" xmlns:ns3="09f21886-507f-4155-9219-cb51c57b452d" targetNamespace="http://schemas.microsoft.com/office/2006/metadata/properties" ma:root="true" ma:fieldsID="20b44c5b9528201a638cbacb5ab9d556" ns2:_="" ns3:_="">
    <xsd:import namespace="a6d28ca4-9d4d-4b7c-a05d-8c0957ab3d04"/>
    <xsd:import namespace="09f21886-507f-4155-9219-cb51c57b4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28ca4-9d4d-4b7c-a05d-8c0957ab3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1e27c8-2684-4e9f-811a-a91d32d71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21886-507f-4155-9219-cb51c57b45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96b88f-1540-4e05-94e0-0216e8478326}" ma:internalName="TaxCatchAll" ma:showField="CatchAllData" ma:web="09f21886-507f-4155-9219-cb51c57b4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f21886-507f-4155-9219-cb51c57b452d" xsi:nil="true"/>
    <lcf76f155ced4ddcb4097134ff3c332f xmlns="a6d28ca4-9d4d-4b7c-a05d-8c0957ab3d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27F4A-08D1-4063-BDC4-F95F724A1EB3}"/>
</file>

<file path=customXml/itemProps2.xml><?xml version="1.0" encoding="utf-8"?>
<ds:datastoreItem xmlns:ds="http://schemas.openxmlformats.org/officeDocument/2006/customXml" ds:itemID="{4EBC4AB1-4977-4764-8349-2D6C11C88BC9}"/>
</file>

<file path=customXml/itemProps3.xml><?xml version="1.0" encoding="utf-8"?>
<ds:datastoreItem xmlns:ds="http://schemas.openxmlformats.org/officeDocument/2006/customXml" ds:itemID="{54169C41-20D8-437A-A237-6E1E78B25AB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Answer Report 1</vt:lpstr>
      <vt:lpstr>Sensitivity Report 1</vt:lpstr>
      <vt:lpstr>Limits Report 1</vt:lpstr>
      <vt:lpstr>Model</vt:lpstr>
      <vt:lpstr>Diagnostics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Joy</dc:creator>
  <dc:description/>
  <cp:lastModifiedBy>Kevin Joy</cp:lastModifiedBy>
  <cp:revision>2</cp:revision>
  <dcterms:created xsi:type="dcterms:W3CDTF">2026-02-07T18:39:54Z</dcterms:created>
  <dcterms:modified xsi:type="dcterms:W3CDTF">2026-02-07T19:45:13Z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0x010100E5CE41A598162740AE0AFB19F1F0A86A</vt:lpwstr>
  </property>
</Properties>
</file>